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esktop\ICSB - 55 - Level 2 Study Materials - July - Dec 25\CS Level 2 __ Jan-June 2025\202 - Direct and Indirect Tax\Direct Tax\"/>
    </mc:Choice>
  </mc:AlternateContent>
  <xr:revisionPtr revIDLastSave="0" documentId="13_ncr:1_{81B7D385-6638-4683-AC4E-107077E675F7}" xr6:coauthVersionLast="47" xr6:coauthVersionMax="47" xr10:uidLastSave="{00000000-0000-0000-0000-000000000000}"/>
  <bookViews>
    <workbookView xWindow="-120" yWindow="-120" windowWidth="20730" windowHeight="11040" firstSheet="8" activeTab="8" xr2:uid="{58581DBE-5A8D-46B3-A62B-7BDF5A3032E0}"/>
  </bookViews>
  <sheets>
    <sheet name="Sheet2" sheetId="18" r:id="rId1"/>
    <sheet name="Jan-23" sheetId="1" r:id="rId2"/>
    <sheet name="July'23" sheetId="15" r:id="rId3"/>
    <sheet name="JAN'22" sheetId="3" r:id="rId4"/>
    <sheet name="july'22" sheetId="2" r:id="rId5"/>
    <sheet name="Jan'21" sheetId="6" r:id="rId6"/>
    <sheet name="July'21" sheetId="5" r:id="rId7"/>
    <sheet name="Jan'20" sheetId="9" r:id="rId8"/>
    <sheet name="July'20" sheetId="8" r:id="rId9"/>
    <sheet name="Jan'19" sheetId="12" r:id="rId10"/>
    <sheet name="July'19" sheetId="10" r:id="rId11"/>
    <sheet name="Rent-2019" sheetId="11" r:id="rId12"/>
    <sheet name="Sheet1" sheetId="17" r:id="rId13"/>
    <sheet name="July'18" sheetId="14" r:id="rId14"/>
    <sheet name="Rent-July'20" sheetId="7" r:id="rId15"/>
    <sheet name="Rent-Jan'22" sheetId="4" r:id="rId16"/>
  </sheets>
  <definedNames>
    <definedName name="_xlnm.Print_Area" localSheetId="15">'Rent-Jan''22'!$A$1:$D$24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6" i="15" l="1"/>
  <c r="E68" i="15" l="1"/>
  <c r="E63" i="15"/>
  <c r="D56" i="15"/>
  <c r="E55" i="15"/>
  <c r="E54" i="15"/>
  <c r="E53" i="15"/>
  <c r="E52" i="15"/>
  <c r="E51" i="15"/>
  <c r="E27" i="15"/>
  <c r="E26" i="15"/>
  <c r="E17" i="15"/>
  <c r="D39" i="15" s="1"/>
  <c r="D40" i="15" s="1"/>
  <c r="E13" i="15"/>
  <c r="E12" i="15"/>
  <c r="E10" i="15"/>
  <c r="E101" i="14"/>
  <c r="E98" i="14"/>
  <c r="E59" i="14"/>
  <c r="E30" i="14"/>
  <c r="D96" i="14"/>
  <c r="E49" i="14"/>
  <c r="E48" i="14"/>
  <c r="E34" i="14"/>
  <c r="E33" i="14"/>
  <c r="E27" i="14"/>
  <c r="E25" i="14"/>
  <c r="E26" i="14" s="1"/>
  <c r="E16" i="14"/>
  <c r="E15" i="14"/>
  <c r="E28" i="15" l="1"/>
  <c r="E30" i="15" s="1"/>
  <c r="E33" i="15" s="1"/>
  <c r="E20" i="15"/>
  <c r="E22" i="15" s="1"/>
  <c r="E12" i="14"/>
  <c r="E14" i="14"/>
  <c r="E11" i="14"/>
  <c r="E10" i="14"/>
  <c r="D70" i="14"/>
  <c r="E69" i="14"/>
  <c r="E68" i="14"/>
  <c r="E67" i="14"/>
  <c r="E66" i="14"/>
  <c r="E65" i="14"/>
  <c r="E13" i="14"/>
  <c r="E9" i="14"/>
  <c r="E53" i="10"/>
  <c r="E27" i="10"/>
  <c r="E26" i="10"/>
  <c r="E93" i="2"/>
  <c r="E74" i="2"/>
  <c r="E51" i="2"/>
  <c r="E27" i="2"/>
  <c r="E26" i="2"/>
  <c r="E92" i="12"/>
  <c r="E74" i="12"/>
  <c r="E68" i="12"/>
  <c r="E51" i="12"/>
  <c r="E14" i="12"/>
  <c r="E44" i="12"/>
  <c r="E43" i="12"/>
  <c r="E23" i="12"/>
  <c r="E39" i="12"/>
  <c r="E22" i="12"/>
  <c r="D89" i="12" s="1"/>
  <c r="E27" i="12"/>
  <c r="E32" i="12" s="1"/>
  <c r="E45" i="15" l="1"/>
  <c r="E62" i="15" s="1"/>
  <c r="E70" i="14"/>
  <c r="E82" i="14" s="1"/>
  <c r="E38" i="14"/>
  <c r="E52" i="14"/>
  <c r="E77" i="14" s="1"/>
  <c r="E19" i="14"/>
  <c r="E21" i="14" s="1"/>
  <c r="E25" i="12"/>
  <c r="E76" i="14" l="1"/>
  <c r="E13" i="12"/>
  <c r="E10" i="12"/>
  <c r="E95" i="12"/>
  <c r="D62" i="12"/>
  <c r="E61" i="12"/>
  <c r="E60" i="12"/>
  <c r="E59" i="12"/>
  <c r="E58" i="12"/>
  <c r="E57" i="12"/>
  <c r="E69" i="12"/>
  <c r="E11" i="12"/>
  <c r="E9" i="12"/>
  <c r="D18" i="11"/>
  <c r="D14" i="11"/>
  <c r="D12" i="11"/>
  <c r="D17" i="11" s="1"/>
  <c r="D8" i="11"/>
  <c r="E63" i="10"/>
  <c r="D90" i="10"/>
  <c r="E93" i="10" s="1"/>
  <c r="E96" i="10" s="1"/>
  <c r="E43" i="10"/>
  <c r="E46" i="10" s="1"/>
  <c r="E71" i="10" s="1"/>
  <c r="E31" i="10"/>
  <c r="E16" i="10"/>
  <c r="E18" i="10"/>
  <c r="E15" i="10"/>
  <c r="E10" i="10"/>
  <c r="D64" i="10"/>
  <c r="E62" i="10"/>
  <c r="E61" i="10"/>
  <c r="E60" i="10"/>
  <c r="E59" i="10"/>
  <c r="E13" i="10"/>
  <c r="E12" i="10"/>
  <c r="E11" i="10"/>
  <c r="E9" i="10"/>
  <c r="D92" i="9"/>
  <c r="E29" i="9"/>
  <c r="E15" i="9"/>
  <c r="E62" i="12" l="1"/>
  <c r="E16" i="12"/>
  <c r="E18" i="12" s="1"/>
  <c r="D20" i="11"/>
  <c r="E34" i="10"/>
  <c r="E64" i="10"/>
  <c r="E76" i="10" s="1"/>
  <c r="E19" i="10"/>
  <c r="E21" i="10" s="1"/>
  <c r="E32" i="9"/>
  <c r="E96" i="9"/>
  <c r="E99" i="9" s="1"/>
  <c r="D67" i="9"/>
  <c r="E66" i="9"/>
  <c r="E65" i="9"/>
  <c r="E64" i="9"/>
  <c r="E63" i="9"/>
  <c r="E62" i="9"/>
  <c r="E43" i="9"/>
  <c r="E49" i="9" s="1"/>
  <c r="E74" i="9" s="1"/>
  <c r="E10" i="9"/>
  <c r="E9" i="9"/>
  <c r="D12" i="7"/>
  <c r="D11" i="7"/>
  <c r="D8" i="7"/>
  <c r="D7" i="7"/>
  <c r="D13" i="7"/>
  <c r="D14" i="7"/>
  <c r="E66" i="8"/>
  <c r="E32" i="8"/>
  <c r="E49" i="8"/>
  <c r="E19" i="8"/>
  <c r="E39" i="8"/>
  <c r="E40" i="8"/>
  <c r="E88" i="8"/>
  <c r="E91" i="8" s="1"/>
  <c r="E30" i="8"/>
  <c r="E28" i="8"/>
  <c r="E16" i="8"/>
  <c r="E17" i="8"/>
  <c r="E15" i="8"/>
  <c r="D60" i="8"/>
  <c r="E59" i="8"/>
  <c r="E58" i="8"/>
  <c r="E57" i="8"/>
  <c r="E56" i="8"/>
  <c r="E55" i="8"/>
  <c r="E14" i="8"/>
  <c r="E13" i="8"/>
  <c r="E12" i="8"/>
  <c r="E11" i="8"/>
  <c r="E10" i="8"/>
  <c r="E9" i="8"/>
  <c r="E95" i="6"/>
  <c r="E70" i="6"/>
  <c r="E69" i="6"/>
  <c r="E52" i="6"/>
  <c r="E39" i="6"/>
  <c r="D90" i="6"/>
  <c r="E92" i="6" s="1"/>
  <c r="D63" i="6"/>
  <c r="E62" i="6"/>
  <c r="E61" i="6"/>
  <c r="E60" i="6"/>
  <c r="E59" i="6"/>
  <c r="E58" i="6"/>
  <c r="E45" i="6"/>
  <c r="E32" i="6"/>
  <c r="E17" i="6"/>
  <c r="D12" i="5"/>
  <c r="E12" i="5" s="1"/>
  <c r="E11" i="5"/>
  <c r="D11" i="5"/>
  <c r="E92" i="5"/>
  <c r="E95" i="5" s="1"/>
  <c r="D63" i="5"/>
  <c r="E62" i="5"/>
  <c r="E61" i="5"/>
  <c r="E60" i="5"/>
  <c r="E59" i="5"/>
  <c r="E63" i="5" s="1"/>
  <c r="E75" i="5" s="1"/>
  <c r="E58" i="5"/>
  <c r="E45" i="5"/>
  <c r="E70" i="5" s="1"/>
  <c r="E41" i="5"/>
  <c r="E40" i="5"/>
  <c r="E39" i="5"/>
  <c r="E32" i="5"/>
  <c r="E29" i="5"/>
  <c r="E28" i="5"/>
  <c r="E10" i="5"/>
  <c r="E9" i="5"/>
  <c r="D12" i="4"/>
  <c r="D14" i="4"/>
  <c r="D17" i="4" s="1"/>
  <c r="D13" i="4"/>
  <c r="D11" i="4"/>
  <c r="D8" i="4"/>
  <c r="D7" i="4"/>
  <c r="E75" i="3"/>
  <c r="E92" i="3"/>
  <c r="E95" i="3" s="1"/>
  <c r="E69" i="3"/>
  <c r="E52" i="3"/>
  <c r="E45" i="3"/>
  <c r="E70" i="3" s="1"/>
  <c r="E21" i="3"/>
  <c r="E41" i="3"/>
  <c r="E29" i="3"/>
  <c r="E28" i="3"/>
  <c r="E9" i="3"/>
  <c r="E39" i="3"/>
  <c r="E40" i="3"/>
  <c r="E17" i="3"/>
  <c r="E15" i="3"/>
  <c r="D63" i="3"/>
  <c r="E62" i="3"/>
  <c r="E61" i="3"/>
  <c r="E60" i="3"/>
  <c r="E59" i="3"/>
  <c r="E58" i="3"/>
  <c r="E16" i="3"/>
  <c r="E14" i="3"/>
  <c r="E13" i="3"/>
  <c r="E12" i="3"/>
  <c r="E11" i="3"/>
  <c r="E10" i="3"/>
  <c r="E90" i="2"/>
  <c r="E66" i="1"/>
  <c r="E18" i="1"/>
  <c r="E20" i="1"/>
  <c r="E43" i="1" s="1"/>
  <c r="D38" i="1"/>
  <c r="D37" i="1"/>
  <c r="E15" i="1"/>
  <c r="E42" i="2"/>
  <c r="E41" i="2"/>
  <c r="E31" i="2"/>
  <c r="E30" i="2"/>
  <c r="E16" i="2"/>
  <c r="E14" i="2"/>
  <c r="E13" i="2"/>
  <c r="E12" i="2"/>
  <c r="E15" i="2"/>
  <c r="D62" i="2"/>
  <c r="E61" i="2"/>
  <c r="E60" i="2"/>
  <c r="E59" i="2"/>
  <c r="E58" i="2"/>
  <c r="E57" i="2"/>
  <c r="E11" i="2"/>
  <c r="E10" i="2"/>
  <c r="E9" i="2"/>
  <c r="E61" i="1"/>
  <c r="D54" i="1"/>
  <c r="E53" i="1"/>
  <c r="E52" i="1"/>
  <c r="E50" i="1"/>
  <c r="E49" i="1"/>
  <c r="E51" i="1"/>
  <c r="E25" i="1"/>
  <c r="E24" i="1"/>
  <c r="E26" i="1" s="1"/>
  <c r="E14" i="1"/>
  <c r="E13" i="1"/>
  <c r="E12" i="1"/>
  <c r="E11" i="1"/>
  <c r="E9" i="1"/>
  <c r="E10" i="1"/>
  <c r="E70" i="10" l="1"/>
  <c r="E62" i="2"/>
  <c r="E34" i="2"/>
  <c r="E67" i="9"/>
  <c r="E79" i="9" s="1"/>
  <c r="E19" i="9"/>
  <c r="E21" i="9" s="1"/>
  <c r="E56" i="9" s="1"/>
  <c r="D17" i="7"/>
  <c r="D15" i="7"/>
  <c r="E60" i="8"/>
  <c r="E72" i="8" s="1"/>
  <c r="E42" i="8"/>
  <c r="E67" i="8" s="1"/>
  <c r="E21" i="8"/>
  <c r="E63" i="6"/>
  <c r="E75" i="6" s="1"/>
  <c r="E19" i="6"/>
  <c r="E21" i="6" s="1"/>
  <c r="E19" i="5"/>
  <c r="E21" i="5" s="1"/>
  <c r="E52" i="5" s="1"/>
  <c r="E69" i="5" s="1"/>
  <c r="D15" i="4"/>
  <c r="E32" i="3"/>
  <c r="E19" i="3"/>
  <c r="E63" i="3"/>
  <c r="E44" i="2"/>
  <c r="E69" i="2" s="1"/>
  <c r="E19" i="2"/>
  <c r="E21" i="2" s="1"/>
  <c r="E68" i="2" s="1"/>
  <c r="E28" i="1"/>
  <c r="E31" i="1" s="1"/>
  <c r="E60" i="1"/>
  <c r="E73" i="9" l="1"/>
</calcChain>
</file>

<file path=xl/sharedStrings.xml><?xml version="1.0" encoding="utf-8"?>
<sst xmlns="http://schemas.openxmlformats.org/spreadsheetml/2006/main" count="1104" uniqueCount="258">
  <si>
    <t>Computation of total income</t>
  </si>
  <si>
    <t>Particulars</t>
  </si>
  <si>
    <t>Monthly</t>
  </si>
  <si>
    <t>Yearly</t>
  </si>
  <si>
    <t>Basic salary</t>
  </si>
  <si>
    <t>House rent allowance</t>
  </si>
  <si>
    <t xml:space="preserve">Total income from employment  </t>
  </si>
  <si>
    <t>Total Income from Employment</t>
  </si>
  <si>
    <t>SL.</t>
  </si>
  <si>
    <t>Ms. Anika</t>
  </si>
  <si>
    <t>AY 22-23</t>
  </si>
  <si>
    <r>
      <t>Less:</t>
    </r>
    <r>
      <rPr>
        <b/>
        <sz val="11"/>
        <color rgb="FF000000"/>
        <rFont val="Gill Sans MT"/>
        <family val="2"/>
      </rPr>
      <t xml:space="preserve"> Exempted Salary (As per 6th schedule Part 1)</t>
    </r>
  </si>
  <si>
    <t>Medical allowance</t>
  </si>
  <si>
    <t>Transport allowance</t>
  </si>
  <si>
    <t>Festival bonus(01 basic)</t>
  </si>
  <si>
    <t>lncentive bonus (5 month Basic salary)</t>
  </si>
  <si>
    <t xml:space="preserve">Amount  </t>
  </si>
  <si>
    <t>A.</t>
  </si>
  <si>
    <t>B.</t>
  </si>
  <si>
    <t>F.</t>
  </si>
  <si>
    <t>Income From Rent :</t>
  </si>
  <si>
    <t>Less:</t>
  </si>
  <si>
    <t>Rental Income (Annual value)</t>
  </si>
  <si>
    <t>Municipal tax (2,775 per quarter)</t>
  </si>
  <si>
    <t>Repair &amp; Maintenance (25% of total rental value)</t>
  </si>
  <si>
    <t xml:space="preserve">Income from rent </t>
  </si>
  <si>
    <t xml:space="preserve">Fire Insurance premium </t>
  </si>
  <si>
    <t xml:space="preserve">Special rental income (unspent repair) [section 39(1)] </t>
  </si>
  <si>
    <t>(60000-45000)</t>
  </si>
  <si>
    <t>Add :</t>
  </si>
  <si>
    <t xml:space="preserve">Total income </t>
  </si>
  <si>
    <t>Govt. Treasury Bond</t>
  </si>
  <si>
    <t>Particulars of rebatable investment</t>
  </si>
  <si>
    <t xml:space="preserve">Tax Calculation </t>
  </si>
  <si>
    <t>Name: Ms. Anika</t>
  </si>
  <si>
    <t>For The Year Ended  30th June 2022</t>
  </si>
  <si>
    <t xml:space="preserve">A. </t>
  </si>
  <si>
    <t>Total Taxable Income As Per Return (A+B)</t>
  </si>
  <si>
    <t>Calculation of Tax:</t>
  </si>
  <si>
    <t xml:space="preserve"> Income </t>
  </si>
  <si>
    <t xml:space="preserve"> Tax </t>
  </si>
  <si>
    <t xml:space="preserve"> Tk. </t>
  </si>
  <si>
    <t xml:space="preserve">                       -   </t>
  </si>
  <si>
    <t>On First slab-0%</t>
  </si>
  <si>
    <t>On Next slab-5%</t>
  </si>
  <si>
    <t>On Next slab-10%</t>
  </si>
  <si>
    <t>On Next slab-15%</t>
  </si>
  <si>
    <t>On Next slab-20%</t>
  </si>
  <si>
    <t>On the Rest Income-25%</t>
  </si>
  <si>
    <t>Calculation of Tax Rebate:</t>
  </si>
  <si>
    <t>3% on total income</t>
  </si>
  <si>
    <t>15% on actual investment (Schedule-5)</t>
  </si>
  <si>
    <t>Maximum 10 Lac</t>
  </si>
  <si>
    <t>Tax Rebate (Lower of i, ii and iii)</t>
  </si>
  <si>
    <t>TK.</t>
  </si>
  <si>
    <t>TK</t>
  </si>
  <si>
    <t>i</t>
  </si>
  <si>
    <t>ii</t>
  </si>
  <si>
    <t>iii</t>
  </si>
  <si>
    <t>C.</t>
  </si>
  <si>
    <t>D.</t>
  </si>
  <si>
    <t>Net Tax Payable (B-C)</t>
  </si>
  <si>
    <t>E.</t>
  </si>
  <si>
    <t>Minimum Tax</t>
  </si>
  <si>
    <t>Minimum tax as per Finance Act 2023</t>
  </si>
  <si>
    <t>Minimum tax U/S-163(2)Kha of ITA 2023</t>
  </si>
  <si>
    <t>Minimum tax U/S-163(5)Ka of ITA 2023</t>
  </si>
  <si>
    <t>Minimum Tax (Higher of i, ii and iii)</t>
  </si>
  <si>
    <t>Tax Payable (Higher of D &amp; E)</t>
  </si>
  <si>
    <t>January 2023</t>
  </si>
  <si>
    <t xml:space="preserve">Exam: </t>
  </si>
  <si>
    <t>July  2022</t>
  </si>
  <si>
    <t>Mr. Chowdhury</t>
  </si>
  <si>
    <t>02 Festival bonus(1.5 month of basic)</t>
  </si>
  <si>
    <t>Utility Allowance</t>
  </si>
  <si>
    <t>Car allowance (assume 2500cc of car)</t>
  </si>
  <si>
    <t>Entertainment Allowance</t>
  </si>
  <si>
    <t>10% Employers Providend fund</t>
  </si>
  <si>
    <t>Income from Financial Assets :</t>
  </si>
  <si>
    <t xml:space="preserve">Dividend incomde </t>
  </si>
  <si>
    <t>45000/90*100</t>
  </si>
  <si>
    <t xml:space="preserve">Interest Income </t>
  </si>
  <si>
    <t>90000/90*100</t>
  </si>
  <si>
    <t xml:space="preserve">Total Financial income </t>
  </si>
  <si>
    <t>Savings Certificate</t>
  </si>
  <si>
    <t>DPS</t>
  </si>
  <si>
    <t>10% providend fund</t>
  </si>
  <si>
    <t xml:space="preserve">Insurance premium </t>
  </si>
  <si>
    <t>90000*10%</t>
  </si>
  <si>
    <t>10% employer Providend fund</t>
  </si>
  <si>
    <t>10% Providend fund</t>
  </si>
  <si>
    <t>G</t>
  </si>
  <si>
    <t>Tax Paid</t>
  </si>
  <si>
    <t>AIT against dividend</t>
  </si>
  <si>
    <t xml:space="preserve">AIT against Interest Income </t>
  </si>
  <si>
    <t>H.</t>
  </si>
  <si>
    <t>Balance Tax Payable/(refundable) (F-G)</t>
  </si>
  <si>
    <t>JANUARY 2022</t>
  </si>
  <si>
    <t>Mr. Akhlaque</t>
  </si>
  <si>
    <t>AY 20-21</t>
  </si>
  <si>
    <t>For The Year Ended  30th June 2021</t>
  </si>
  <si>
    <t>Name: Mr. Akhlaque</t>
  </si>
  <si>
    <t>Name: Mr. Chowdhury</t>
  </si>
  <si>
    <t>Leave fare assistance (4 month of Basic)</t>
  </si>
  <si>
    <t>150000*10%*12</t>
  </si>
  <si>
    <t>100000*10%*12</t>
  </si>
  <si>
    <t>50000/90*100</t>
  </si>
  <si>
    <t>450000*10%</t>
  </si>
  <si>
    <t>Reimbursement for medical</t>
  </si>
  <si>
    <t>95000/90*100</t>
  </si>
  <si>
    <t>Donation to approve charitable fund</t>
  </si>
  <si>
    <t>750000*10%</t>
  </si>
  <si>
    <t>AIT against salary</t>
  </si>
  <si>
    <t>TDS</t>
  </si>
  <si>
    <t>Savings Certificate &amp; sanchay patra</t>
  </si>
  <si>
    <t>Computation of income from rent</t>
  </si>
  <si>
    <t>Tk.</t>
  </si>
  <si>
    <t xml:space="preserve">Actual rent </t>
  </si>
  <si>
    <t xml:space="preserve">Reasonable rent </t>
  </si>
  <si>
    <t xml:space="preserve">Annual value, higher one </t>
  </si>
  <si>
    <t>Less: Expenses</t>
  </si>
  <si>
    <t xml:space="preserve">Repair &amp; maintenance </t>
  </si>
  <si>
    <t xml:space="preserve">Special rental income [section 39(1)] </t>
  </si>
  <si>
    <t>1500*20*2</t>
  </si>
  <si>
    <t>1500*15*2</t>
  </si>
  <si>
    <t xml:space="preserve">Municipal  tax </t>
  </si>
  <si>
    <t>25%x720,000</t>
  </si>
  <si>
    <t>Vacancy allowance</t>
  </si>
  <si>
    <t>1500*20*3</t>
  </si>
  <si>
    <t>1500*2*2*12/2</t>
  </si>
  <si>
    <t>January-2022</t>
  </si>
  <si>
    <t>July 2021</t>
  </si>
  <si>
    <t>Mr. Masudur Rahman</t>
  </si>
  <si>
    <t>Name: Mr. Masudur Rahman</t>
  </si>
  <si>
    <t>For The Year Ended  30th June 2020</t>
  </si>
  <si>
    <t>Medical allowance (10% of Basic)</t>
  </si>
  <si>
    <t>Dearness allowance (5% of Basic)</t>
  </si>
  <si>
    <t>January 2021</t>
  </si>
  <si>
    <t>Conveyance Allowance</t>
  </si>
  <si>
    <t>Incentive Bonus</t>
  </si>
  <si>
    <t>Entertainment allowance</t>
  </si>
  <si>
    <t>02 Festival bonus</t>
  </si>
  <si>
    <t xml:space="preserve">Savings Certificate </t>
  </si>
  <si>
    <t>Interest from saving Acc</t>
  </si>
  <si>
    <t>Interest fromsavings certificate</t>
  </si>
  <si>
    <t>AIT against Interest Income  (tk. 25000+40000)</t>
  </si>
  <si>
    <t>Festival bonus</t>
  </si>
  <si>
    <t>Employers Providend fund</t>
  </si>
  <si>
    <t>July  2020</t>
  </si>
  <si>
    <t>Mr. Kamrul Abedin</t>
  </si>
  <si>
    <t>Name: Mr. Kamrul Abedin</t>
  </si>
  <si>
    <t>Mr. Borhan</t>
  </si>
  <si>
    <t>02 Festival bonus(1 month of basic)</t>
  </si>
  <si>
    <t>Leave Fare assistance (3months of Basic)</t>
  </si>
  <si>
    <t>60000*10%*12</t>
  </si>
  <si>
    <t>55000/90*100</t>
  </si>
  <si>
    <t>Dividend from mutual fund</t>
  </si>
  <si>
    <t>30000/10*100</t>
  </si>
  <si>
    <t>300000*10%</t>
  </si>
  <si>
    <t>Name:Mr. Borhan</t>
  </si>
  <si>
    <t>On the Rest Income-20%</t>
  </si>
  <si>
    <t>July-2020</t>
  </si>
  <si>
    <t>1500*2*12*2/3</t>
  </si>
  <si>
    <t>1500*15*3</t>
  </si>
  <si>
    <t>January 2020</t>
  </si>
  <si>
    <t>Mr. Kamal Uddin</t>
  </si>
  <si>
    <t>AY 19-20</t>
  </si>
  <si>
    <t>Name: Mr. Kamal Uddin</t>
  </si>
  <si>
    <t>For The Year Ended  30th June 2019</t>
  </si>
  <si>
    <t>Bangla new year bonus (20% of basic)</t>
  </si>
  <si>
    <t>80000*20%</t>
  </si>
  <si>
    <t>Contributed to GP fund</t>
  </si>
  <si>
    <t>Entertainment alllowance</t>
  </si>
  <si>
    <t>Board Meeting Attendence Fee</t>
  </si>
  <si>
    <t>84000/90*100</t>
  </si>
  <si>
    <t>AIT against sanchay patra (125000*5%)</t>
  </si>
  <si>
    <t>July  2019</t>
  </si>
  <si>
    <t>Mrs. Kalpana Rahman</t>
  </si>
  <si>
    <t>Name: Mrs. Kalpana Rahman</t>
  </si>
  <si>
    <t>AY 2018-2019</t>
  </si>
  <si>
    <t>House rent allowance (60% OF BASIC)</t>
  </si>
  <si>
    <t>Bengali New Year allowance (20% of basic)</t>
  </si>
  <si>
    <t>80000*10%*12</t>
  </si>
  <si>
    <t>Others Income</t>
  </si>
  <si>
    <t>For The Year Ended  30th June 2018</t>
  </si>
  <si>
    <t>Professional fee against articles</t>
  </si>
  <si>
    <t>54000/90*100</t>
  </si>
  <si>
    <t>Sanchay patra</t>
  </si>
  <si>
    <t>Savings certificate</t>
  </si>
  <si>
    <t>Donation of charitable fund</t>
  </si>
  <si>
    <t>AIT Against Salary</t>
  </si>
  <si>
    <t>AIT against Interest Income  (60000-54000)</t>
  </si>
  <si>
    <t>AIT Against interest of sanchay patra (125000*5%)</t>
  </si>
  <si>
    <t>Dividend income</t>
  </si>
  <si>
    <t>July-2019</t>
  </si>
  <si>
    <t xml:space="preserve">Monthly </t>
  </si>
  <si>
    <t>Municipal  tax (DCC)</t>
  </si>
  <si>
    <t>Interest On Loan</t>
  </si>
  <si>
    <t>600000*30%</t>
  </si>
  <si>
    <t>January 2019</t>
  </si>
  <si>
    <t>Md. Islam</t>
  </si>
  <si>
    <t>Name: Md. Islam</t>
  </si>
  <si>
    <t xml:space="preserve">House rent allowance </t>
  </si>
  <si>
    <t>110000*10%*12</t>
  </si>
  <si>
    <t>Deposit pension scheme</t>
  </si>
  <si>
    <t>5000*12*2</t>
  </si>
  <si>
    <t>90000*100/90</t>
  </si>
  <si>
    <t>Interest Income on govt. securities</t>
  </si>
  <si>
    <t>Interest income on debenture</t>
  </si>
  <si>
    <t>TDS on rent (5% of annual rent)</t>
  </si>
  <si>
    <t>Sale of Crops &amp; property</t>
  </si>
  <si>
    <t>E</t>
  </si>
  <si>
    <t>Capital Gain</t>
  </si>
  <si>
    <t>Sale of personal land</t>
  </si>
  <si>
    <t>Acquisition Cost</t>
  </si>
  <si>
    <t>Repair &amp; maintenace Exp (allowable)</t>
  </si>
  <si>
    <t>Transportation allowance (assume 2500)</t>
  </si>
  <si>
    <t>Allowable exp (assume resident)</t>
  </si>
  <si>
    <t>25% of 300000</t>
  </si>
  <si>
    <t>Leass:</t>
  </si>
  <si>
    <t>Repair &amp; maint. Exp (allowable)</t>
  </si>
  <si>
    <t>240000*25%</t>
  </si>
  <si>
    <t>(840000*30%</t>
  </si>
  <si>
    <t>July  2018</t>
  </si>
  <si>
    <t>Mr. Zubair</t>
  </si>
  <si>
    <t>Name: Mr. Zubair</t>
  </si>
  <si>
    <t>AY 2017-2018</t>
  </si>
  <si>
    <t>House rent allowance (60% of basic)</t>
  </si>
  <si>
    <t>Medical allowance (10% of Basic0</t>
  </si>
  <si>
    <t>Entertainment Allowance (5% of Basic)</t>
  </si>
  <si>
    <t>Children Education allowance  (15% of Basic)</t>
  </si>
  <si>
    <t>Festival bonus(2 month of basic)</t>
  </si>
  <si>
    <t>Incentive Allowance</t>
  </si>
  <si>
    <t>Municipal tax  (3500 *4)</t>
  </si>
  <si>
    <t>Interest paid on Loan</t>
  </si>
  <si>
    <t>25% of  600000</t>
  </si>
  <si>
    <t>Dividend income in DSE</t>
  </si>
  <si>
    <t>Dividend income in PVT</t>
  </si>
  <si>
    <t>36000*100/90</t>
  </si>
  <si>
    <t>10000*12</t>
  </si>
  <si>
    <t>Interest income</t>
  </si>
  <si>
    <t>AIT against Interest Income (150000*5%)</t>
  </si>
  <si>
    <t>Mr.Selim</t>
  </si>
  <si>
    <t>Car Allowance</t>
  </si>
  <si>
    <t>Repair &amp; maint. Exp</t>
  </si>
  <si>
    <t>Festival bonus(02 basic)</t>
  </si>
  <si>
    <t>Lunch allowance</t>
  </si>
  <si>
    <t>July 2023</t>
  </si>
  <si>
    <t>TDS on sale of land</t>
  </si>
  <si>
    <t>.</t>
  </si>
  <si>
    <t>The End</t>
  </si>
  <si>
    <t>Direct Tax Math Solutions</t>
  </si>
  <si>
    <t xml:space="preserve"> to</t>
  </si>
  <si>
    <t>Year:</t>
  </si>
  <si>
    <t>ICSB</t>
  </si>
  <si>
    <t>Certificate Level : II</t>
  </si>
  <si>
    <t xml:space="preserve">Batch </t>
  </si>
  <si>
    <t>July - Dec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</si>
</sst>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Gill Sans MT"/>
      <family val="2"/>
    </font>
    <font>
      <b/>
      <sz val="12"/>
      <color theme="1"/>
      <name val="Gill Sans MT"/>
      <family val="2"/>
    </font>
    <font>
      <b/>
      <sz val="10"/>
      <color theme="1"/>
      <name val="Gill Sans MT"/>
      <family val="2"/>
    </font>
    <font>
      <sz val="11"/>
      <color rgb="FF000000"/>
      <name val="Gill Sans MT"/>
      <family val="2"/>
    </font>
    <font>
      <b/>
      <sz val="11"/>
      <color rgb="FF000000"/>
      <name val="Gill Sans MT"/>
      <family val="2"/>
    </font>
    <font>
      <b/>
      <sz val="12"/>
      <color rgb="FF000000"/>
      <name val="Gill Sans MT"/>
      <family val="2"/>
    </font>
    <font>
      <b/>
      <u/>
      <sz val="12"/>
      <color theme="1"/>
      <name val="Gill Sans MT"/>
      <family val="2"/>
    </font>
    <font>
      <sz val="11"/>
      <color theme="1"/>
      <name val="Gill Sans MT"/>
      <family val="2"/>
    </font>
    <font>
      <b/>
      <sz val="11"/>
      <color theme="1"/>
      <name val="Gill Sans MT"/>
      <family val="2"/>
    </font>
    <font>
      <sz val="12"/>
      <color theme="1"/>
      <name val="Gill Sans MT"/>
      <family val="2"/>
    </font>
    <font>
      <b/>
      <sz val="11"/>
      <color rgb="FFFF0000"/>
      <name val="Gill Sans MT"/>
      <family val="2"/>
    </font>
    <font>
      <b/>
      <sz val="14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FF0000"/>
      <name val="Gill Sans MT"/>
      <family val="2"/>
    </font>
    <font>
      <sz val="11"/>
      <color rgb="FFFF0000"/>
      <name val="Gill Sans MT"/>
      <family val="2"/>
    </font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22"/>
      <color theme="1"/>
      <name val="Aptos Narrow"/>
      <scheme val="minor"/>
    </font>
    <font>
      <b/>
      <sz val="16"/>
      <color theme="1"/>
      <name val="Aptos Narrow"/>
      <scheme val="minor"/>
    </font>
    <font>
      <b/>
      <u/>
      <sz val="26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6">
    <xf numFmtId="0" fontId="0" fillId="0" borderId="0" xfId="0"/>
    <xf numFmtId="0" fontId="3" fillId="0" borderId="0" xfId="0" applyFont="1"/>
    <xf numFmtId="0" fontId="4" fillId="0" borderId="0" xfId="0" applyFont="1" applyAlignment="1">
      <alignment horizontal="justify" vertical="center"/>
    </xf>
    <xf numFmtId="0" fontId="8" fillId="0" borderId="0" xfId="0" applyFont="1"/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0" fontId="2" fillId="0" borderId="1" xfId="0" applyFont="1" applyBorder="1"/>
    <xf numFmtId="164" fontId="0" fillId="0" borderId="1" xfId="1" applyNumberFormat="1" applyFont="1" applyBorder="1"/>
    <xf numFmtId="164" fontId="2" fillId="0" borderId="1" xfId="1" applyNumberFormat="1" applyFont="1" applyBorder="1"/>
    <xf numFmtId="0" fontId="9" fillId="0" borderId="0" xfId="0" applyFont="1" applyAlignment="1">
      <alignment vertical="center"/>
    </xf>
    <xf numFmtId="3" fontId="7" fillId="0" borderId="0" xfId="0" applyNumberFormat="1" applyFont="1" applyAlignment="1">
      <alignment horizontal="center" vertical="center"/>
    </xf>
    <xf numFmtId="0" fontId="0" fillId="0" borderId="0" xfId="0" applyAlignment="1">
      <alignment horizontal="right"/>
    </xf>
    <xf numFmtId="164" fontId="0" fillId="0" borderId="0" xfId="1" applyNumberFormat="1" applyFont="1" applyBorder="1"/>
    <xf numFmtId="0" fontId="2" fillId="0" borderId="0" xfId="0" applyFont="1"/>
    <xf numFmtId="164" fontId="0" fillId="0" borderId="0" xfId="0" applyNumberFormat="1"/>
    <xf numFmtId="164" fontId="0" fillId="0" borderId="2" xfId="0" applyNumberFormat="1" applyBorder="1"/>
    <xf numFmtId="0" fontId="9" fillId="0" borderId="0" xfId="0" applyFont="1"/>
    <xf numFmtId="164" fontId="0" fillId="0" borderId="3" xfId="0" applyNumberFormat="1" applyBorder="1"/>
    <xf numFmtId="164" fontId="0" fillId="0" borderId="5" xfId="1" applyNumberFormat="1" applyFont="1" applyBorder="1"/>
    <xf numFmtId="164" fontId="2" fillId="0" borderId="4" xfId="1" applyNumberFormat="1" applyFont="1" applyBorder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4" fontId="2" fillId="0" borderId="3" xfId="0" applyNumberFormat="1" applyFont="1" applyBorder="1"/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justify" vertical="center" wrapText="1"/>
    </xf>
    <xf numFmtId="0" fontId="11" fillId="0" borderId="0" xfId="0" applyFont="1" applyAlignment="1">
      <alignment horizontal="right" vertical="center"/>
    </xf>
    <xf numFmtId="3" fontId="11" fillId="0" borderId="0" xfId="0" applyNumberFormat="1" applyFont="1" applyAlignment="1">
      <alignment vertical="center"/>
    </xf>
    <xf numFmtId="3" fontId="11" fillId="0" borderId="0" xfId="0" applyNumberFormat="1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9" fontId="11" fillId="0" borderId="0" xfId="0" applyNumberFormat="1" applyFont="1" applyAlignment="1">
      <alignment horizontal="justify" vertical="center" wrapText="1"/>
    </xf>
    <xf numFmtId="3" fontId="11" fillId="0" borderId="0" xfId="0" applyNumberFormat="1" applyFont="1" applyAlignment="1">
      <alignment horizontal="right" vertical="center" wrapText="1"/>
    </xf>
    <xf numFmtId="3" fontId="12" fillId="0" borderId="6" xfId="0" applyNumberFormat="1" applyFont="1" applyBorder="1" applyAlignment="1">
      <alignment horizontal="right" vertical="center" wrapText="1"/>
    </xf>
    <xf numFmtId="0" fontId="13" fillId="0" borderId="0" xfId="0" applyFont="1" applyAlignment="1">
      <alignment vertical="center"/>
    </xf>
    <xf numFmtId="3" fontId="2" fillId="0" borderId="0" xfId="0" applyNumberFormat="1" applyFont="1"/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43" fontId="0" fillId="0" borderId="0" xfId="1" applyFont="1"/>
    <xf numFmtId="0" fontId="14" fillId="0" borderId="0" xfId="0" applyFont="1"/>
    <xf numFmtId="3" fontId="11" fillId="0" borderId="7" xfId="0" applyNumberFormat="1" applyFont="1" applyBorder="1" applyAlignment="1">
      <alignment horizontal="right" vertical="center"/>
    </xf>
    <xf numFmtId="43" fontId="11" fillId="0" borderId="7" xfId="1" applyFont="1" applyBorder="1" applyAlignment="1">
      <alignment horizontal="right" vertical="center"/>
    </xf>
    <xf numFmtId="3" fontId="12" fillId="0" borderId="8" xfId="0" applyNumberFormat="1" applyFont="1" applyBorder="1" applyAlignment="1">
      <alignment horizontal="right" vertical="center"/>
    </xf>
    <xf numFmtId="0" fontId="15" fillId="0" borderId="0" xfId="0" applyFont="1"/>
    <xf numFmtId="17" fontId="15" fillId="0" borderId="0" xfId="0" quotePrefix="1" applyNumberFormat="1" applyFont="1"/>
    <xf numFmtId="164" fontId="0" fillId="0" borderId="3" xfId="1" applyNumberFormat="1" applyFont="1" applyBorder="1"/>
    <xf numFmtId="164" fontId="0" fillId="0" borderId="8" xfId="0" applyNumberFormat="1" applyBorder="1"/>
    <xf numFmtId="3" fontId="0" fillId="0" borderId="8" xfId="0" applyNumberFormat="1" applyBorder="1"/>
    <xf numFmtId="3" fontId="0" fillId="0" borderId="3" xfId="0" applyNumberFormat="1" applyBorder="1"/>
    <xf numFmtId="3" fontId="0" fillId="0" borderId="0" xfId="0" applyNumberFormat="1"/>
    <xf numFmtId="0" fontId="16" fillId="0" borderId="1" xfId="0" applyFont="1" applyBorder="1"/>
    <xf numFmtId="164" fontId="16" fillId="0" borderId="1" xfId="1" applyNumberFormat="1" applyFont="1" applyBorder="1"/>
    <xf numFmtId="3" fontId="2" fillId="0" borderId="8" xfId="0" applyNumberFormat="1" applyFont="1" applyBorder="1"/>
    <xf numFmtId="0" fontId="18" fillId="0" borderId="0" xfId="0" applyFont="1" applyAlignment="1">
      <alignment vertical="center"/>
    </xf>
    <xf numFmtId="3" fontId="19" fillId="0" borderId="0" xfId="0" applyNumberFormat="1" applyFont="1" applyAlignment="1">
      <alignment horizontal="right" vertical="center"/>
    </xf>
    <xf numFmtId="0" fontId="16" fillId="0" borderId="0" xfId="0" applyFont="1"/>
    <xf numFmtId="164" fontId="16" fillId="0" borderId="0" xfId="1" applyNumberFormat="1" applyFont="1" applyBorder="1"/>
    <xf numFmtId="0" fontId="20" fillId="0" borderId="5" xfId="0" applyFont="1" applyBorder="1"/>
    <xf numFmtId="0" fontId="20" fillId="0" borderId="1" xfId="0" applyFont="1" applyBorder="1"/>
    <xf numFmtId="0" fontId="20" fillId="0" borderId="12" xfId="0" applyFont="1" applyBorder="1"/>
    <xf numFmtId="0" fontId="20" fillId="0" borderId="7" xfId="0" applyFont="1" applyBorder="1"/>
    <xf numFmtId="0" fontId="20" fillId="0" borderId="13" xfId="0" applyFont="1" applyBorder="1"/>
    <xf numFmtId="43" fontId="20" fillId="0" borderId="1" xfId="1" applyFont="1" applyBorder="1" applyAlignment="1"/>
    <xf numFmtId="164" fontId="20" fillId="0" borderId="1" xfId="1" applyNumberFormat="1" applyFont="1" applyBorder="1" applyAlignment="1"/>
    <xf numFmtId="164" fontId="20" fillId="0" borderId="1" xfId="0" applyNumberFormat="1" applyFont="1" applyBorder="1"/>
    <xf numFmtId="0" fontId="17" fillId="0" borderId="1" xfId="0" applyFont="1" applyBorder="1"/>
    <xf numFmtId="164" fontId="20" fillId="0" borderId="5" xfId="0" applyNumberFormat="1" applyFont="1" applyBorder="1"/>
    <xf numFmtId="164" fontId="20" fillId="0" borderId="4" xfId="0" applyNumberFormat="1" applyFont="1" applyBorder="1"/>
    <xf numFmtId="164" fontId="17" fillId="0" borderId="4" xfId="0" applyNumberFormat="1" applyFont="1" applyBorder="1"/>
    <xf numFmtId="164" fontId="0" fillId="0" borderId="4" xfId="0" applyNumberFormat="1" applyBorder="1"/>
    <xf numFmtId="0" fontId="17" fillId="0" borderId="0" xfId="0" quotePrefix="1" applyFont="1"/>
    <xf numFmtId="0" fontId="21" fillId="0" borderId="0" xfId="0" applyFont="1"/>
    <xf numFmtId="164" fontId="21" fillId="0" borderId="0" xfId="1" applyNumberFormat="1" applyFont="1" applyBorder="1"/>
    <xf numFmtId="164" fontId="16" fillId="0" borderId="0" xfId="0" applyNumberFormat="1" applyFont="1"/>
    <xf numFmtId="43" fontId="11" fillId="0" borderId="0" xfId="1" applyFont="1" applyAlignment="1">
      <alignment vertical="center"/>
    </xf>
    <xf numFmtId="43" fontId="11" fillId="0" borderId="0" xfId="1" applyFont="1" applyAlignment="1">
      <alignment horizontal="right" vertical="center"/>
    </xf>
    <xf numFmtId="0" fontId="21" fillId="0" borderId="1" xfId="0" applyFont="1" applyBorder="1"/>
    <xf numFmtId="164" fontId="21" fillId="0" borderId="1" xfId="1" applyNumberFormat="1" applyFont="1" applyBorder="1"/>
    <xf numFmtId="164" fontId="0" fillId="0" borderId="0" xfId="1" applyNumberFormat="1" applyFont="1" applyFill="1" applyBorder="1"/>
    <xf numFmtId="164" fontId="20" fillId="0" borderId="14" xfId="0" applyNumberFormat="1" applyFont="1" applyBorder="1"/>
    <xf numFmtId="164" fontId="2" fillId="0" borderId="8" xfId="0" applyNumberFormat="1" applyFont="1" applyBorder="1"/>
    <xf numFmtId="164" fontId="2" fillId="0" borderId="0" xfId="1" applyNumberFormat="1" applyFont="1" applyBorder="1"/>
    <xf numFmtId="164" fontId="2" fillId="0" borderId="8" xfId="1" applyNumberFormat="1" applyFont="1" applyBorder="1"/>
    <xf numFmtId="0" fontId="16" fillId="0" borderId="0" xfId="0" applyFont="1" applyAlignment="1">
      <alignment horizontal="right"/>
    </xf>
    <xf numFmtId="164" fontId="0" fillId="0" borderId="8" xfId="1" applyNumberFormat="1" applyFont="1" applyBorder="1"/>
    <xf numFmtId="164" fontId="22" fillId="0" borderId="3" xfId="0" applyNumberFormat="1" applyFont="1" applyBorder="1"/>
    <xf numFmtId="0" fontId="0" fillId="0" borderId="7" xfId="0" applyBorder="1" applyAlignment="1">
      <alignment horizontal="center"/>
    </xf>
    <xf numFmtId="0" fontId="0" fillId="0" borderId="7" xfId="0" applyBorder="1"/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7" fillId="0" borderId="9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23" fillId="0" borderId="0" xfId="0" applyFont="1"/>
    <xf numFmtId="0" fontId="24" fillId="0" borderId="0" xfId="0" applyFont="1"/>
    <xf numFmtId="17" fontId="24" fillId="0" borderId="0" xfId="0" applyNumberFormat="1" applyFont="1"/>
    <xf numFmtId="0" fontId="24" fillId="0" borderId="0" xfId="0" applyFont="1" applyAlignment="1">
      <alignment horizontal="center"/>
    </xf>
    <xf numFmtId="0" fontId="2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76FDD-8E43-486D-AF8B-0BF9BB3CFAEE}">
  <dimension ref="B2:E22"/>
  <sheetViews>
    <sheetView view="pageBreakPreview" zoomScale="60" zoomScaleNormal="100" workbookViewId="0">
      <selection activeCell="H11" sqref="H11"/>
    </sheetView>
  </sheetViews>
  <sheetFormatPr defaultRowHeight="14.25"/>
  <cols>
    <col min="6" max="6" width="13.75" customWidth="1"/>
  </cols>
  <sheetData>
    <row r="2" spans="2:5" ht="33.75">
      <c r="C2" s="105" t="s">
        <v>254</v>
      </c>
    </row>
    <row r="8" spans="2:5" ht="27.75">
      <c r="B8" s="101" t="s">
        <v>251</v>
      </c>
    </row>
    <row r="9" spans="2:5" ht="27.75">
      <c r="B9" s="101"/>
    </row>
    <row r="10" spans="2:5" ht="27.75">
      <c r="B10" s="101"/>
    </row>
    <row r="11" spans="2:5" ht="27.75">
      <c r="B11" s="101"/>
    </row>
    <row r="14" spans="2:5" s="102" customFormat="1" ht="20.25">
      <c r="B14" s="102" t="s">
        <v>253</v>
      </c>
      <c r="C14" s="103">
        <v>43282</v>
      </c>
      <c r="D14" s="104" t="s">
        <v>252</v>
      </c>
      <c r="E14" s="103">
        <v>45108</v>
      </c>
    </row>
    <row r="16" spans="2:5" s="102" customFormat="1" ht="20.25">
      <c r="B16" s="102" t="s">
        <v>255</v>
      </c>
    </row>
    <row r="17" spans="2:5" s="102" customFormat="1" ht="20.25"/>
    <row r="18" spans="2:5" s="102" customFormat="1" ht="20.25">
      <c r="B18" s="102" t="s">
        <v>256</v>
      </c>
      <c r="C18" s="102">
        <v>55</v>
      </c>
      <c r="E18" s="102" t="s">
        <v>257</v>
      </c>
    </row>
    <row r="19" spans="2:5" s="102" customFormat="1" ht="20.25"/>
    <row r="22" spans="2:5">
      <c r="C22" t="s">
        <v>249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E1A90-BF84-494D-BFBA-F393C1DBF046}">
  <dimension ref="B2:G76"/>
  <sheetViews>
    <sheetView view="pageBreakPreview" topLeftCell="A34" zoomScale="60" zoomScaleNormal="100" workbookViewId="0">
      <selection activeCell="D33" sqref="D33"/>
    </sheetView>
  </sheetViews>
  <sheetFormatPr defaultRowHeight="14.25"/>
  <cols>
    <col min="1" max="1" width="2" customWidth="1"/>
    <col min="2" max="2" width="10" customWidth="1"/>
    <col min="3" max="3" width="38" customWidth="1"/>
    <col min="4" max="4" width="20.75" customWidth="1"/>
    <col min="5" max="5" width="16.25" customWidth="1"/>
  </cols>
  <sheetData>
    <row r="2" spans="2:5" ht="18">
      <c r="B2" s="47" t="s">
        <v>70</v>
      </c>
      <c r="C2" s="48" t="s">
        <v>69</v>
      </c>
    </row>
    <row r="4" spans="2:5" ht="15">
      <c r="B4" s="2"/>
    </row>
    <row r="5" spans="2:5" ht="15" customHeight="1">
      <c r="B5" s="92" t="s">
        <v>9</v>
      </c>
      <c r="C5" s="92"/>
      <c r="D5" s="92"/>
      <c r="E5" s="92"/>
    </row>
    <row r="6" spans="2:5" ht="15" customHeight="1">
      <c r="B6" s="92" t="s">
        <v>0</v>
      </c>
      <c r="C6" s="92"/>
      <c r="D6" s="92"/>
      <c r="E6" s="92"/>
    </row>
    <row r="7" spans="2:5" ht="15" customHeight="1">
      <c r="B7" s="92" t="s">
        <v>10</v>
      </c>
      <c r="C7" s="92"/>
      <c r="D7" s="92"/>
      <c r="E7" s="92"/>
    </row>
    <row r="8" spans="2:5" ht="15">
      <c r="B8" s="6" t="s">
        <v>8</v>
      </c>
      <c r="C8" s="6" t="s">
        <v>1</v>
      </c>
      <c r="D8" s="6" t="s">
        <v>2</v>
      </c>
      <c r="E8" s="6" t="s">
        <v>3</v>
      </c>
    </row>
    <row r="9" spans="2:5">
      <c r="B9" s="4"/>
      <c r="C9" s="4" t="s">
        <v>4</v>
      </c>
      <c r="D9" s="7">
        <v>90000</v>
      </c>
      <c r="E9" s="7">
        <f>D9*12</f>
        <v>1080000</v>
      </c>
    </row>
    <row r="10" spans="2:5">
      <c r="B10" s="4"/>
      <c r="C10" s="4" t="s">
        <v>5</v>
      </c>
      <c r="D10" s="7">
        <v>45000</v>
      </c>
      <c r="E10" s="7">
        <f>D10*12</f>
        <v>540000</v>
      </c>
    </row>
    <row r="11" spans="2:5">
      <c r="B11" s="4"/>
      <c r="C11" s="4" t="s">
        <v>12</v>
      </c>
      <c r="D11" s="7">
        <v>12000</v>
      </c>
      <c r="E11" s="7">
        <f t="shared" ref="E11" si="0">D11*12</f>
        <v>144000</v>
      </c>
    </row>
    <row r="12" spans="2:5">
      <c r="B12" s="4"/>
      <c r="C12" s="4" t="s">
        <v>15</v>
      </c>
      <c r="D12" s="7">
        <v>0</v>
      </c>
      <c r="E12" s="7">
        <f>D9*5</f>
        <v>450000</v>
      </c>
    </row>
    <row r="13" spans="2:5">
      <c r="B13" s="4"/>
      <c r="C13" s="4" t="s">
        <v>13</v>
      </c>
      <c r="D13" s="7">
        <v>12150</v>
      </c>
      <c r="E13" s="7">
        <f>D13*12</f>
        <v>145800</v>
      </c>
    </row>
    <row r="14" spans="2:5">
      <c r="B14" s="4"/>
      <c r="C14" s="4" t="s">
        <v>14</v>
      </c>
      <c r="D14" s="7">
        <v>90000</v>
      </c>
      <c r="E14" s="7">
        <f>D14*1</f>
        <v>90000</v>
      </c>
    </row>
    <row r="15" spans="2:5">
      <c r="B15" s="4"/>
      <c r="C15" s="4" t="s">
        <v>89</v>
      </c>
      <c r="D15" s="7"/>
      <c r="E15" s="7">
        <f>D9*10%*12</f>
        <v>108000</v>
      </c>
    </row>
    <row r="16" spans="2:5">
      <c r="B16" s="4"/>
      <c r="C16" s="4"/>
      <c r="D16" s="7"/>
      <c r="E16" s="7"/>
    </row>
    <row r="17" spans="2:5">
      <c r="B17" s="4"/>
      <c r="C17" s="4"/>
      <c r="D17" s="7"/>
      <c r="E17" s="7"/>
    </row>
    <row r="18" spans="2:5" ht="15">
      <c r="B18" s="4"/>
      <c r="C18" s="6" t="s">
        <v>6</v>
      </c>
      <c r="D18" s="8"/>
      <c r="E18" s="8">
        <f>SUM(E9:E17)</f>
        <v>2557800</v>
      </c>
    </row>
    <row r="19" spans="2:5" ht="17.25">
      <c r="B19" s="4"/>
      <c r="C19" s="6" t="s">
        <v>11</v>
      </c>
      <c r="D19" s="8"/>
      <c r="E19" s="8">
        <v>450000</v>
      </c>
    </row>
    <row r="20" spans="2:5" ht="15.75" thickBot="1">
      <c r="B20" s="6" t="s">
        <v>17</v>
      </c>
      <c r="C20" s="6" t="s">
        <v>7</v>
      </c>
      <c r="D20" s="8"/>
      <c r="E20" s="19">
        <f>E18-E19</f>
        <v>2107800</v>
      </c>
    </row>
    <row r="21" spans="2:5" ht="20.25" thickTop="1">
      <c r="B21" s="5"/>
      <c r="C21" s="4"/>
      <c r="D21" s="7"/>
      <c r="E21" s="18"/>
    </row>
    <row r="23" spans="2:5" ht="17.25">
      <c r="B23" s="13"/>
      <c r="C23" s="3" t="s">
        <v>20</v>
      </c>
    </row>
    <row r="24" spans="2:5">
      <c r="B24" s="11"/>
      <c r="C24" t="s">
        <v>22</v>
      </c>
      <c r="D24" s="12">
        <v>20000</v>
      </c>
      <c r="E24" s="12">
        <f>D24*12</f>
        <v>240000</v>
      </c>
    </row>
    <row r="25" spans="2:5">
      <c r="B25" t="s">
        <v>21</v>
      </c>
      <c r="C25" t="s">
        <v>23</v>
      </c>
      <c r="E25" s="12">
        <f>2775*4</f>
        <v>11100</v>
      </c>
    </row>
    <row r="26" spans="2:5">
      <c r="B26" t="s">
        <v>21</v>
      </c>
      <c r="C26" t="s">
        <v>24</v>
      </c>
      <c r="E26" s="14">
        <f>E24*25%</f>
        <v>60000</v>
      </c>
    </row>
    <row r="27" spans="2:5" ht="15" thickBot="1">
      <c r="B27" t="s">
        <v>21</v>
      </c>
      <c r="C27" t="s">
        <v>26</v>
      </c>
      <c r="E27" s="15">
        <v>15000</v>
      </c>
    </row>
    <row r="28" spans="2:5" ht="17.25">
      <c r="C28" s="3" t="s">
        <v>25</v>
      </c>
      <c r="E28" s="14">
        <f>E24-E25-E26-E27</f>
        <v>153900</v>
      </c>
    </row>
    <row r="29" spans="2:5" ht="15" thickBot="1">
      <c r="B29" t="s">
        <v>29</v>
      </c>
      <c r="C29" t="s">
        <v>27</v>
      </c>
      <c r="D29" t="s">
        <v>28</v>
      </c>
      <c r="E29" s="15">
        <v>15000</v>
      </c>
    </row>
    <row r="30" spans="2:5">
      <c r="E30" s="14"/>
    </row>
    <row r="31" spans="2:5" ht="20.25" thickBot="1">
      <c r="B31" s="13" t="s">
        <v>18</v>
      </c>
      <c r="C31" s="16" t="s">
        <v>30</v>
      </c>
      <c r="E31" s="17">
        <f>E28+E29</f>
        <v>168900</v>
      </c>
    </row>
    <row r="32" spans="2:5" ht="15" thickTop="1">
      <c r="E32" s="14"/>
    </row>
    <row r="33" spans="2:7">
      <c r="E33" s="14"/>
    </row>
    <row r="34" spans="2:7" ht="19.5" customHeight="1">
      <c r="B34" s="94" t="s">
        <v>32</v>
      </c>
      <c r="C34" s="94"/>
      <c r="D34" s="94"/>
    </row>
    <row r="35" spans="2:7" ht="15" customHeight="1">
      <c r="B35" s="20"/>
      <c r="C35" s="21"/>
      <c r="D35" s="20" t="s">
        <v>16</v>
      </c>
    </row>
    <row r="36" spans="2:7" ht="15" customHeight="1">
      <c r="B36">
        <v>1</v>
      </c>
      <c r="C36" t="s">
        <v>31</v>
      </c>
      <c r="D36" s="12">
        <v>500000</v>
      </c>
    </row>
    <row r="37" spans="2:7">
      <c r="B37">
        <v>2</v>
      </c>
      <c r="C37" t="s">
        <v>90</v>
      </c>
      <c r="D37" s="14">
        <f>E15*2</f>
        <v>216000</v>
      </c>
    </row>
    <row r="38" spans="2:7" ht="15" thickBot="1">
      <c r="D38" s="50">
        <f>SUM(D36:D37)</f>
        <v>716000</v>
      </c>
    </row>
    <row r="39" spans="2:7" ht="15.75" thickTop="1">
      <c r="C39" s="22" t="s">
        <v>33</v>
      </c>
    </row>
    <row r="40" spans="2:7" ht="15">
      <c r="C40" s="22" t="s">
        <v>34</v>
      </c>
    </row>
    <row r="41" spans="2:7" ht="15">
      <c r="C41" s="22" t="s">
        <v>35</v>
      </c>
    </row>
    <row r="43" spans="2:7" ht="15.75" thickBot="1">
      <c r="B43" s="13" t="s">
        <v>36</v>
      </c>
      <c r="C43" s="23" t="s">
        <v>37</v>
      </c>
      <c r="E43" s="24">
        <f>E20+E31</f>
        <v>2276700</v>
      </c>
    </row>
    <row r="44" spans="2:7" ht="15.75" thickTop="1">
      <c r="B44" s="13"/>
    </row>
    <row r="45" spans="2:7" ht="15">
      <c r="B45" s="13" t="s">
        <v>18</v>
      </c>
    </row>
    <row r="46" spans="2:7" ht="19.5">
      <c r="C46" s="25" t="s">
        <v>38</v>
      </c>
      <c r="D46" s="26" t="s">
        <v>39</v>
      </c>
      <c r="E46" s="26" t="s">
        <v>40</v>
      </c>
      <c r="F46" s="1"/>
      <c r="G46" s="26"/>
    </row>
    <row r="47" spans="2:7" ht="19.5">
      <c r="C47" s="25"/>
      <c r="D47" s="26" t="s">
        <v>54</v>
      </c>
      <c r="E47" s="26" t="s">
        <v>55</v>
      </c>
      <c r="F47" s="1"/>
      <c r="G47" s="26"/>
    </row>
    <row r="48" spans="2:7" ht="17.25">
      <c r="C48" s="27" t="s">
        <v>43</v>
      </c>
      <c r="D48" s="29">
        <v>400000</v>
      </c>
      <c r="E48" s="28" t="s">
        <v>42</v>
      </c>
      <c r="F48" s="33"/>
      <c r="G48" s="28"/>
    </row>
    <row r="49" spans="2:7" ht="17.25">
      <c r="C49" s="27" t="s">
        <v>44</v>
      </c>
      <c r="D49" s="29">
        <v>100000</v>
      </c>
      <c r="E49" s="30">
        <f>D49*5%</f>
        <v>5000</v>
      </c>
      <c r="F49" s="33"/>
      <c r="G49" s="30"/>
    </row>
    <row r="50" spans="2:7" ht="17.25">
      <c r="C50" s="27" t="s">
        <v>45</v>
      </c>
      <c r="D50" s="29">
        <v>400000</v>
      </c>
      <c r="E50" s="30">
        <f>D50*10%</f>
        <v>40000</v>
      </c>
      <c r="F50" s="33"/>
      <c r="G50" s="30"/>
    </row>
    <row r="51" spans="2:7" ht="17.25">
      <c r="C51" s="27" t="s">
        <v>46</v>
      </c>
      <c r="D51" s="29">
        <v>500000</v>
      </c>
      <c r="E51" s="30">
        <f>D51*15%</f>
        <v>75000</v>
      </c>
      <c r="F51" s="33"/>
      <c r="G51" s="30"/>
    </row>
    <row r="52" spans="2:7" ht="17.25">
      <c r="C52" s="27" t="s">
        <v>47</v>
      </c>
      <c r="D52" s="29">
        <v>500000</v>
      </c>
      <c r="E52" s="30">
        <f>D52*20%</f>
        <v>100000</v>
      </c>
      <c r="F52" s="33"/>
      <c r="G52" s="30"/>
    </row>
    <row r="53" spans="2:7" ht="18" thickBot="1">
      <c r="C53" s="27" t="s">
        <v>48</v>
      </c>
      <c r="D53" s="29">
        <v>376700</v>
      </c>
      <c r="E53" s="30">
        <f>D53*25%</f>
        <v>94175</v>
      </c>
      <c r="F53" s="33"/>
      <c r="G53" s="1"/>
    </row>
    <row r="54" spans="2:7" ht="18" thickBot="1">
      <c r="C54" s="31"/>
      <c r="D54" s="35">
        <f>SUM(D48:D53)</f>
        <v>2276700</v>
      </c>
      <c r="E54" s="35">
        <v>205200</v>
      </c>
      <c r="F54" s="1"/>
      <c r="G54" s="34"/>
    </row>
    <row r="55" spans="2:7" ht="15" thickTop="1"/>
    <row r="58" spans="2:7" s="9" customFormat="1" ht="15.75" customHeight="1">
      <c r="B58" s="93"/>
      <c r="C58" s="93"/>
      <c r="D58" s="93"/>
    </row>
    <row r="59" spans="2:7" ht="19.5">
      <c r="B59" s="39" t="s">
        <v>59</v>
      </c>
      <c r="C59" s="25" t="s">
        <v>49</v>
      </c>
      <c r="D59" s="1"/>
    </row>
    <row r="60" spans="2:7" ht="19.5">
      <c r="B60" s="38" t="s">
        <v>56</v>
      </c>
      <c r="C60" s="36" t="s">
        <v>50</v>
      </c>
      <c r="D60" s="28" t="s">
        <v>41</v>
      </c>
      <c r="E60" s="30">
        <f>E43*3%</f>
        <v>68301</v>
      </c>
    </row>
    <row r="61" spans="2:7" ht="19.5">
      <c r="B61" s="38" t="s">
        <v>57</v>
      </c>
      <c r="C61" s="36" t="s">
        <v>51</v>
      </c>
      <c r="D61" s="28" t="s">
        <v>41</v>
      </c>
      <c r="E61" s="30">
        <f>D36*15%</f>
        <v>75000</v>
      </c>
    </row>
    <row r="62" spans="2:7" ht="19.5">
      <c r="B62" s="38" t="s">
        <v>58</v>
      </c>
      <c r="C62" s="36" t="s">
        <v>52</v>
      </c>
      <c r="D62" s="28" t="s">
        <v>41</v>
      </c>
      <c r="E62" s="30">
        <v>1000000</v>
      </c>
    </row>
    <row r="63" spans="2:7" ht="19.5">
      <c r="C63" s="36" t="s">
        <v>53</v>
      </c>
      <c r="D63" s="32" t="s">
        <v>54</v>
      </c>
      <c r="E63" s="37">
        <v>68301</v>
      </c>
    </row>
    <row r="64" spans="2:7">
      <c r="D64" s="12"/>
    </row>
    <row r="65" spans="2:5">
      <c r="D65" s="12"/>
    </row>
    <row r="66" spans="2:5" ht="17.25">
      <c r="B66" s="40" t="s">
        <v>60</v>
      </c>
      <c r="C66" s="41" t="s">
        <v>61</v>
      </c>
      <c r="D66" s="12"/>
      <c r="E66" s="37">
        <f>E54-E63</f>
        <v>136899</v>
      </c>
    </row>
    <row r="67" spans="2:5" ht="15">
      <c r="B67" s="1"/>
      <c r="C67" s="1"/>
      <c r="D67" s="12"/>
    </row>
    <row r="68" spans="2:5" ht="17.25">
      <c r="B68" s="40" t="s">
        <v>62</v>
      </c>
      <c r="C68" s="41" t="s">
        <v>63</v>
      </c>
      <c r="D68" s="12"/>
    </row>
    <row r="69" spans="2:5" ht="19.5">
      <c r="B69" s="38" t="s">
        <v>56</v>
      </c>
      <c r="C69" s="21" t="s">
        <v>64</v>
      </c>
      <c r="D69" s="12" t="s">
        <v>54</v>
      </c>
      <c r="E69" s="44">
        <v>5000</v>
      </c>
    </row>
    <row r="70" spans="2:5" ht="19.5">
      <c r="B70" s="38" t="s">
        <v>57</v>
      </c>
      <c r="C70" s="21" t="s">
        <v>65</v>
      </c>
      <c r="D70" s="12"/>
      <c r="E70" s="45">
        <v>0</v>
      </c>
    </row>
    <row r="71" spans="2:5" ht="19.5">
      <c r="B71" s="38" t="s">
        <v>58</v>
      </c>
      <c r="C71" s="21" t="s">
        <v>66</v>
      </c>
      <c r="D71" s="10"/>
      <c r="E71" s="45">
        <v>0</v>
      </c>
    </row>
    <row r="72" spans="2:5" ht="19.5">
      <c r="B72" s="1"/>
      <c r="C72" s="36" t="s">
        <v>67</v>
      </c>
      <c r="E72" s="42"/>
    </row>
    <row r="73" spans="2:5">
      <c r="E73" s="42"/>
    </row>
    <row r="75" spans="2:5" ht="18" thickBot="1">
      <c r="B75" s="13" t="s">
        <v>19</v>
      </c>
      <c r="C75" s="43" t="s">
        <v>68</v>
      </c>
      <c r="E75" s="46">
        <v>136899</v>
      </c>
    </row>
    <row r="76" spans="2:5" ht="15" thickTop="1"/>
  </sheetData>
  <mergeCells count="5">
    <mergeCell ref="B5:E5"/>
    <mergeCell ref="B6:E6"/>
    <mergeCell ref="B7:E7"/>
    <mergeCell ref="B58:D58"/>
    <mergeCell ref="B34:D34"/>
  </mergeCells>
  <pageMargins left="0.7" right="0.7" top="0.75" bottom="0.75" header="0.3" footer="0.3"/>
  <pageSetup paperSize="9" scale="88" orientation="portrait" r:id="rId1"/>
  <rowBreaks count="1" manualBreakCount="1">
    <brk id="4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24F66-A912-48DA-97AC-3CBED22DFF88}">
  <sheetPr>
    <tabColor rgb="FFFF0000"/>
  </sheetPr>
  <dimension ref="B2:G78"/>
  <sheetViews>
    <sheetView view="pageBreakPreview" topLeftCell="A43" zoomScale="60" zoomScaleNormal="100" workbookViewId="0">
      <selection activeCell="E37" sqref="E37"/>
    </sheetView>
  </sheetViews>
  <sheetFormatPr defaultRowHeight="14.25"/>
  <cols>
    <col min="1" max="1" width="2" customWidth="1"/>
    <col min="2" max="2" width="10" customWidth="1"/>
    <col min="3" max="3" width="38" customWidth="1"/>
    <col min="4" max="4" width="20.75" customWidth="1"/>
    <col min="5" max="5" width="16.25" customWidth="1"/>
  </cols>
  <sheetData>
    <row r="2" spans="2:6" ht="18">
      <c r="B2" s="47" t="s">
        <v>70</v>
      </c>
      <c r="C2" s="48" t="s">
        <v>247</v>
      </c>
    </row>
    <row r="4" spans="2:6" ht="15">
      <c r="B4" s="2"/>
    </row>
    <row r="5" spans="2:6" ht="15" customHeight="1">
      <c r="B5" s="92" t="s">
        <v>242</v>
      </c>
      <c r="C5" s="92"/>
      <c r="D5" s="92"/>
      <c r="E5" s="92"/>
    </row>
    <row r="6" spans="2:6" ht="15" customHeight="1">
      <c r="B6" s="92" t="s">
        <v>0</v>
      </c>
      <c r="C6" s="92"/>
      <c r="D6" s="92"/>
      <c r="E6" s="92"/>
    </row>
    <row r="7" spans="2:6" ht="15" customHeight="1">
      <c r="B7" s="92" t="s">
        <v>10</v>
      </c>
      <c r="C7" s="92"/>
      <c r="D7" s="92"/>
      <c r="E7" s="92"/>
    </row>
    <row r="8" spans="2:6" ht="15">
      <c r="B8" s="6" t="s">
        <v>8</v>
      </c>
      <c r="C8" s="6" t="s">
        <v>1</v>
      </c>
      <c r="D8" s="6" t="s">
        <v>2</v>
      </c>
      <c r="E8" s="6" t="s">
        <v>3</v>
      </c>
    </row>
    <row r="9" spans="2:6">
      <c r="B9" s="4"/>
      <c r="C9" s="4" t="s">
        <v>4</v>
      </c>
      <c r="D9" s="7"/>
      <c r="E9" s="7">
        <v>1440000</v>
      </c>
    </row>
    <row r="10" spans="2:6">
      <c r="B10" s="54"/>
      <c r="C10" s="54" t="s">
        <v>5</v>
      </c>
      <c r="D10" s="55">
        <v>50000</v>
      </c>
      <c r="E10" s="55">
        <f>D10*12</f>
        <v>600000</v>
      </c>
      <c r="F10" s="59"/>
    </row>
    <row r="11" spans="2:6">
      <c r="B11" s="4"/>
      <c r="C11" s="4" t="s">
        <v>12</v>
      </c>
      <c r="D11" s="7"/>
      <c r="E11" s="7">
        <v>126000</v>
      </c>
    </row>
    <row r="12" spans="2:6">
      <c r="B12" s="4"/>
      <c r="C12" s="4" t="s">
        <v>15</v>
      </c>
      <c r="D12" s="7">
        <v>0</v>
      </c>
      <c r="E12" s="7">
        <f>D9*5</f>
        <v>0</v>
      </c>
    </row>
    <row r="13" spans="2:6">
      <c r="B13" s="4"/>
      <c r="C13" s="4" t="s">
        <v>243</v>
      </c>
      <c r="D13" s="7">
        <v>10000</v>
      </c>
      <c r="E13" s="7">
        <f>D13*12</f>
        <v>120000</v>
      </c>
    </row>
    <row r="14" spans="2:6">
      <c r="B14" s="4"/>
      <c r="C14" s="4" t="s">
        <v>244</v>
      </c>
      <c r="D14" s="7"/>
      <c r="E14" s="7"/>
    </row>
    <row r="15" spans="2:6">
      <c r="B15" s="4"/>
      <c r="C15" s="4" t="s">
        <v>246</v>
      </c>
      <c r="D15" s="7"/>
      <c r="E15" s="7">
        <v>72000</v>
      </c>
    </row>
    <row r="16" spans="2:6">
      <c r="B16" s="4"/>
      <c r="C16" s="4" t="s">
        <v>245</v>
      </c>
      <c r="D16" s="7"/>
      <c r="E16" s="7">
        <f>D10*2</f>
        <v>100000</v>
      </c>
    </row>
    <row r="17" spans="2:5">
      <c r="B17" s="4"/>
      <c r="C17" s="4" t="s">
        <v>89</v>
      </c>
      <c r="D17" s="7"/>
      <c r="E17" s="7">
        <f>D9*10%*12</f>
        <v>0</v>
      </c>
    </row>
    <row r="18" spans="2:5">
      <c r="B18" s="4"/>
      <c r="C18" s="4"/>
      <c r="D18" s="7"/>
      <c r="E18" s="7"/>
    </row>
    <row r="19" spans="2:5">
      <c r="B19" s="4"/>
      <c r="C19" s="4"/>
      <c r="D19" s="7"/>
      <c r="E19" s="7"/>
    </row>
    <row r="20" spans="2:5" ht="15">
      <c r="B20" s="4"/>
      <c r="C20" s="6" t="s">
        <v>6</v>
      </c>
      <c r="D20" s="8"/>
      <c r="E20" s="8">
        <f>SUM(E9:E19)</f>
        <v>2458000</v>
      </c>
    </row>
    <row r="21" spans="2:5" ht="17.25">
      <c r="B21" s="4"/>
      <c r="C21" s="6" t="s">
        <v>11</v>
      </c>
      <c r="D21" s="8"/>
      <c r="E21" s="8">
        <v>450000</v>
      </c>
    </row>
    <row r="22" spans="2:5" ht="15.75" thickBot="1">
      <c r="B22" s="6" t="s">
        <v>17</v>
      </c>
      <c r="C22" s="6" t="s">
        <v>7</v>
      </c>
      <c r="D22" s="8"/>
      <c r="E22" s="19">
        <f>E20-E21</f>
        <v>2008000</v>
      </c>
    </row>
    <row r="23" spans="2:5" ht="20.25" thickTop="1">
      <c r="B23" s="5"/>
      <c r="C23" s="4"/>
      <c r="D23" s="7"/>
      <c r="E23" s="18"/>
    </row>
    <row r="25" spans="2:5" ht="17.25">
      <c r="B25" s="13"/>
      <c r="C25" s="3" t="s">
        <v>20</v>
      </c>
    </row>
    <row r="26" spans="2:5">
      <c r="B26" s="11"/>
      <c r="C26" t="s">
        <v>22</v>
      </c>
      <c r="D26" s="12">
        <v>20000</v>
      </c>
      <c r="E26" s="12">
        <f>D26*12</f>
        <v>240000</v>
      </c>
    </row>
    <row r="27" spans="2:5">
      <c r="B27" t="s">
        <v>21</v>
      </c>
      <c r="C27" t="s">
        <v>23</v>
      </c>
      <c r="E27" s="12">
        <f>2775*4</f>
        <v>11100</v>
      </c>
    </row>
    <row r="28" spans="2:5">
      <c r="B28" t="s">
        <v>21</v>
      </c>
      <c r="C28" t="s">
        <v>24</v>
      </c>
      <c r="E28" s="14">
        <f>E26*25%</f>
        <v>60000</v>
      </c>
    </row>
    <row r="29" spans="2:5" ht="15" thickBot="1">
      <c r="B29" t="s">
        <v>21</v>
      </c>
      <c r="C29" t="s">
        <v>26</v>
      </c>
      <c r="E29" s="15">
        <v>15000</v>
      </c>
    </row>
    <row r="30" spans="2:5" ht="17.25">
      <c r="C30" s="3" t="s">
        <v>25</v>
      </c>
      <c r="E30" s="14">
        <f>E26-E27-E28-E29</f>
        <v>153900</v>
      </c>
    </row>
    <row r="31" spans="2:5" ht="15" thickBot="1">
      <c r="B31" t="s">
        <v>29</v>
      </c>
      <c r="C31" t="s">
        <v>27</v>
      </c>
      <c r="D31" t="s">
        <v>28</v>
      </c>
      <c r="E31" s="15">
        <v>15000</v>
      </c>
    </row>
    <row r="32" spans="2:5">
      <c r="E32" s="14"/>
    </row>
    <row r="33" spans="2:7" ht="20.25" thickBot="1">
      <c r="B33" s="13" t="s">
        <v>18</v>
      </c>
      <c r="C33" s="16" t="s">
        <v>30</v>
      </c>
      <c r="E33" s="17">
        <f>E30+E31</f>
        <v>168900</v>
      </c>
    </row>
    <row r="34" spans="2:7" ht="15" thickTop="1">
      <c r="E34" s="14"/>
    </row>
    <row r="35" spans="2:7">
      <c r="E35" s="14"/>
    </row>
    <row r="36" spans="2:7" ht="19.5" customHeight="1">
      <c r="B36" s="94" t="s">
        <v>32</v>
      </c>
      <c r="C36" s="94"/>
      <c r="D36" s="94"/>
    </row>
    <row r="37" spans="2:7" ht="15" customHeight="1">
      <c r="B37" s="20"/>
      <c r="C37" s="21"/>
      <c r="D37" s="20" t="s">
        <v>16</v>
      </c>
    </row>
    <row r="38" spans="2:7" ht="15" customHeight="1">
      <c r="B38">
        <v>1</v>
      </c>
      <c r="C38" t="s">
        <v>31</v>
      </c>
      <c r="D38" s="12">
        <v>500000</v>
      </c>
    </row>
    <row r="39" spans="2:7">
      <c r="B39">
        <v>2</v>
      </c>
      <c r="C39" t="s">
        <v>90</v>
      </c>
      <c r="D39" s="14">
        <f>E17*2</f>
        <v>0</v>
      </c>
    </row>
    <row r="40" spans="2:7" ht="15" thickBot="1">
      <c r="D40" s="50">
        <f>SUM(D38:D39)</f>
        <v>500000</v>
      </c>
    </row>
    <row r="41" spans="2:7" ht="15.75" thickTop="1">
      <c r="C41" s="22" t="s">
        <v>33</v>
      </c>
    </row>
    <row r="42" spans="2:7" ht="15">
      <c r="C42" s="22" t="s">
        <v>34</v>
      </c>
    </row>
    <row r="43" spans="2:7" ht="15">
      <c r="C43" s="22" t="s">
        <v>35</v>
      </c>
    </row>
    <row r="45" spans="2:7" ht="15.75" thickBot="1">
      <c r="B45" s="13" t="s">
        <v>36</v>
      </c>
      <c r="C45" s="23" t="s">
        <v>37</v>
      </c>
      <c r="E45" s="24">
        <f>E22+E33</f>
        <v>2176900</v>
      </c>
    </row>
    <row r="46" spans="2:7" ht="15.75" thickTop="1">
      <c r="B46" s="13"/>
    </row>
    <row r="47" spans="2:7" ht="15">
      <c r="B47" s="13" t="s">
        <v>18</v>
      </c>
    </row>
    <row r="48" spans="2:7" ht="19.5">
      <c r="C48" s="25" t="s">
        <v>38</v>
      </c>
      <c r="D48" s="26" t="s">
        <v>39</v>
      </c>
      <c r="E48" s="26" t="s">
        <v>40</v>
      </c>
      <c r="F48" s="1"/>
      <c r="G48" s="26"/>
    </row>
    <row r="49" spans="2:7" ht="19.5">
      <c r="C49" s="25"/>
      <c r="D49" s="26" t="s">
        <v>54</v>
      </c>
      <c r="E49" s="26" t="s">
        <v>55</v>
      </c>
      <c r="F49" s="1"/>
      <c r="G49" s="26"/>
    </row>
    <row r="50" spans="2:7" ht="17.25">
      <c r="C50" s="27" t="s">
        <v>43</v>
      </c>
      <c r="D50" s="29">
        <v>400000</v>
      </c>
      <c r="E50" s="28" t="s">
        <v>42</v>
      </c>
      <c r="F50" s="33"/>
      <c r="G50" s="28"/>
    </row>
    <row r="51" spans="2:7" ht="17.25">
      <c r="C51" s="27" t="s">
        <v>44</v>
      </c>
      <c r="D51" s="29">
        <v>100000</v>
      </c>
      <c r="E51" s="30">
        <f>D51*5%</f>
        <v>5000</v>
      </c>
      <c r="F51" s="33"/>
      <c r="G51" s="30"/>
    </row>
    <row r="52" spans="2:7" ht="17.25">
      <c r="C52" s="27" t="s">
        <v>45</v>
      </c>
      <c r="D52" s="29">
        <v>400000</v>
      </c>
      <c r="E52" s="30">
        <f>D52*10%</f>
        <v>40000</v>
      </c>
      <c r="F52" s="33"/>
      <c r="G52" s="30"/>
    </row>
    <row r="53" spans="2:7" ht="17.25">
      <c r="C53" s="27" t="s">
        <v>46</v>
      </c>
      <c r="D53" s="29">
        <v>500000</v>
      </c>
      <c r="E53" s="30">
        <f>D53*15%</f>
        <v>75000</v>
      </c>
      <c r="F53" s="33"/>
      <c r="G53" s="30"/>
    </row>
    <row r="54" spans="2:7" ht="17.25">
      <c r="C54" s="27" t="s">
        <v>47</v>
      </c>
      <c r="D54" s="29">
        <v>500000</v>
      </c>
      <c r="E54" s="30">
        <f>D54*20%</f>
        <v>100000</v>
      </c>
      <c r="F54" s="33"/>
      <c r="G54" s="30"/>
    </row>
    <row r="55" spans="2:7" ht="18" thickBot="1">
      <c r="C55" s="27" t="s">
        <v>48</v>
      </c>
      <c r="D55" s="29">
        <v>376700</v>
      </c>
      <c r="E55" s="30">
        <f>D55*25%</f>
        <v>94175</v>
      </c>
      <c r="F55" s="33"/>
      <c r="G55" s="1"/>
    </row>
    <row r="56" spans="2:7" ht="18" thickBot="1">
      <c r="C56" s="31"/>
      <c r="D56" s="35">
        <f>SUM(D50:D55)</f>
        <v>2276700</v>
      </c>
      <c r="E56" s="35">
        <v>205200</v>
      </c>
      <c r="F56" s="1"/>
      <c r="G56" s="34"/>
    </row>
    <row r="57" spans="2:7" ht="15" thickTop="1"/>
    <row r="60" spans="2:7" s="9" customFormat="1" ht="15.75" customHeight="1">
      <c r="B60" s="93"/>
      <c r="C60" s="93"/>
      <c r="D60" s="93"/>
    </row>
    <row r="61" spans="2:7" ht="19.5">
      <c r="B61" s="39" t="s">
        <v>59</v>
      </c>
      <c r="C61" s="25" t="s">
        <v>49</v>
      </c>
      <c r="D61" s="1"/>
    </row>
    <row r="62" spans="2:7" ht="19.5">
      <c r="B62" s="38" t="s">
        <v>56</v>
      </c>
      <c r="C62" s="36" t="s">
        <v>50</v>
      </c>
      <c r="D62" s="28" t="s">
        <v>41</v>
      </c>
      <c r="E62" s="30">
        <f>E45*3%</f>
        <v>65307</v>
      </c>
    </row>
    <row r="63" spans="2:7" ht="19.5">
      <c r="B63" s="38" t="s">
        <v>57</v>
      </c>
      <c r="C63" s="36" t="s">
        <v>51</v>
      </c>
      <c r="D63" s="28" t="s">
        <v>41</v>
      </c>
      <c r="E63" s="30">
        <f>D38*15%</f>
        <v>75000</v>
      </c>
    </row>
    <row r="64" spans="2:7" ht="19.5">
      <c r="B64" s="38" t="s">
        <v>58</v>
      </c>
      <c r="C64" s="36" t="s">
        <v>52</v>
      </c>
      <c r="D64" s="28" t="s">
        <v>41</v>
      </c>
      <c r="E64" s="30">
        <v>1000000</v>
      </c>
    </row>
    <row r="65" spans="2:5" ht="19.5">
      <c r="C65" s="36" t="s">
        <v>53</v>
      </c>
      <c r="D65" s="32" t="s">
        <v>54</v>
      </c>
      <c r="E65" s="37">
        <v>68301</v>
      </c>
    </row>
    <row r="66" spans="2:5">
      <c r="D66" s="12"/>
    </row>
    <row r="67" spans="2:5">
      <c r="D67" s="12"/>
    </row>
    <row r="68" spans="2:5" ht="17.25">
      <c r="B68" s="40" t="s">
        <v>60</v>
      </c>
      <c r="C68" s="41" t="s">
        <v>61</v>
      </c>
      <c r="D68" s="12"/>
      <c r="E68" s="37">
        <f>E56-E65</f>
        <v>136899</v>
      </c>
    </row>
    <row r="69" spans="2:5" ht="15">
      <c r="B69" s="1"/>
      <c r="C69" s="1"/>
      <c r="D69" s="12"/>
    </row>
    <row r="70" spans="2:5" ht="17.25">
      <c r="B70" s="40" t="s">
        <v>62</v>
      </c>
      <c r="C70" s="41" t="s">
        <v>63</v>
      </c>
      <c r="D70" s="12"/>
    </row>
    <row r="71" spans="2:5" ht="19.5">
      <c r="B71" s="38" t="s">
        <v>56</v>
      </c>
      <c r="C71" s="21" t="s">
        <v>64</v>
      </c>
      <c r="D71" s="12" t="s">
        <v>54</v>
      </c>
      <c r="E71" s="44">
        <v>5000</v>
      </c>
    </row>
    <row r="72" spans="2:5" ht="19.5">
      <c r="B72" s="38" t="s">
        <v>57</v>
      </c>
      <c r="C72" s="21" t="s">
        <v>65</v>
      </c>
      <c r="D72" s="12"/>
      <c r="E72" s="45">
        <v>0</v>
      </c>
    </row>
    <row r="73" spans="2:5" ht="19.5">
      <c r="B73" s="38" t="s">
        <v>58</v>
      </c>
      <c r="C73" s="21" t="s">
        <v>66</v>
      </c>
      <c r="D73" s="10"/>
      <c r="E73" s="45">
        <v>0</v>
      </c>
    </row>
    <row r="74" spans="2:5" ht="19.5">
      <c r="B74" s="1"/>
      <c r="C74" s="36" t="s">
        <v>67</v>
      </c>
      <c r="E74" s="42"/>
    </row>
    <row r="75" spans="2:5">
      <c r="E75" s="42"/>
    </row>
    <row r="77" spans="2:5" ht="18" thickBot="1">
      <c r="B77" s="13" t="s">
        <v>19</v>
      </c>
      <c r="C77" s="43" t="s">
        <v>68</v>
      </c>
      <c r="E77" s="46">
        <v>136899</v>
      </c>
    </row>
    <row r="78" spans="2:5" ht="15" thickTop="1"/>
  </sheetData>
  <mergeCells count="5">
    <mergeCell ref="B5:E5"/>
    <mergeCell ref="B6:E6"/>
    <mergeCell ref="B7:E7"/>
    <mergeCell ref="B36:D36"/>
    <mergeCell ref="B60:D60"/>
  </mergeCells>
  <pageMargins left="0.7" right="0.7" top="0.75" bottom="0.75" header="0.3" footer="0.3"/>
  <pageSetup scale="95" orientation="portrait" r:id="rId1"/>
  <rowBreaks count="1" manualBreakCount="1">
    <brk id="46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282E0-A677-44B8-87C8-4DB6FBA032BA}">
  <dimension ref="B2:G96"/>
  <sheetViews>
    <sheetView view="pageBreakPreview" topLeftCell="A73" zoomScale="60" zoomScaleNormal="100" workbookViewId="0">
      <selection activeCell="C94" sqref="C94"/>
    </sheetView>
  </sheetViews>
  <sheetFormatPr defaultRowHeight="14.25"/>
  <cols>
    <col min="1" max="1" width="2" customWidth="1"/>
    <col min="2" max="2" width="10" customWidth="1"/>
    <col min="3" max="3" width="46.875" customWidth="1"/>
    <col min="4" max="4" width="20.75" customWidth="1"/>
    <col min="5" max="5" width="16.25" customWidth="1"/>
  </cols>
  <sheetData>
    <row r="2" spans="2:5" ht="18">
      <c r="B2" s="47" t="s">
        <v>70</v>
      </c>
      <c r="C2" s="48" t="s">
        <v>97</v>
      </c>
    </row>
    <row r="4" spans="2:5" ht="15">
      <c r="B4" s="2"/>
    </row>
    <row r="5" spans="2:5" ht="15" customHeight="1">
      <c r="B5" s="92" t="s">
        <v>98</v>
      </c>
      <c r="C5" s="92"/>
      <c r="D5" s="92"/>
      <c r="E5" s="92"/>
    </row>
    <row r="6" spans="2:5" ht="15" customHeight="1">
      <c r="B6" s="92" t="s">
        <v>0</v>
      </c>
      <c r="C6" s="92"/>
      <c r="D6" s="92"/>
      <c r="E6" s="92"/>
    </row>
    <row r="7" spans="2:5" ht="15" customHeight="1">
      <c r="B7" s="92" t="s">
        <v>99</v>
      </c>
      <c r="C7" s="92"/>
      <c r="D7" s="92"/>
      <c r="E7" s="92"/>
    </row>
    <row r="8" spans="2:5" ht="15">
      <c r="B8" s="6" t="s">
        <v>8</v>
      </c>
      <c r="C8" s="6" t="s">
        <v>1</v>
      </c>
      <c r="D8" s="6" t="s">
        <v>2</v>
      </c>
      <c r="E8" s="6" t="s">
        <v>3</v>
      </c>
    </row>
    <row r="9" spans="2:5">
      <c r="B9" s="4"/>
      <c r="C9" s="4" t="s">
        <v>4</v>
      </c>
      <c r="D9" s="7">
        <v>100000</v>
      </c>
      <c r="E9" s="7">
        <f>D9*12</f>
        <v>1200000</v>
      </c>
    </row>
    <row r="10" spans="2:5">
      <c r="B10" s="4"/>
      <c r="C10" s="54" t="s">
        <v>5</v>
      </c>
      <c r="D10" s="7"/>
      <c r="E10" s="7">
        <f>D10*12</f>
        <v>0</v>
      </c>
    </row>
    <row r="11" spans="2:5">
      <c r="B11" s="4"/>
      <c r="C11" s="4" t="s">
        <v>12</v>
      </c>
      <c r="D11" s="7">
        <v>10000</v>
      </c>
      <c r="E11" s="7">
        <f t="shared" ref="E11:E12" si="0">D11*12</f>
        <v>120000</v>
      </c>
    </row>
    <row r="12" spans="2:5">
      <c r="B12" s="4"/>
      <c r="C12" s="4" t="s">
        <v>74</v>
      </c>
      <c r="D12" s="7">
        <v>20000</v>
      </c>
      <c r="E12" s="7">
        <f t="shared" si="0"/>
        <v>240000</v>
      </c>
    </row>
    <row r="13" spans="2:5">
      <c r="B13" s="4"/>
      <c r="C13" s="4" t="s">
        <v>75</v>
      </c>
      <c r="D13" s="7">
        <v>10000</v>
      </c>
      <c r="E13" s="7">
        <f>D13*12</f>
        <v>120000</v>
      </c>
    </row>
    <row r="14" spans="2:5">
      <c r="B14" s="4"/>
      <c r="C14" s="4" t="s">
        <v>76</v>
      </c>
      <c r="D14" s="7">
        <v>3000</v>
      </c>
      <c r="E14" s="7">
        <f>D14*12</f>
        <v>36000</v>
      </c>
    </row>
    <row r="15" spans="2:5">
      <c r="B15" s="4"/>
      <c r="C15" s="4" t="s">
        <v>73</v>
      </c>
      <c r="D15" s="7"/>
      <c r="E15" s="7">
        <f>D9*1.5*2</f>
        <v>300000</v>
      </c>
    </row>
    <row r="16" spans="2:5">
      <c r="B16" s="4"/>
      <c r="C16" s="4" t="s">
        <v>77</v>
      </c>
      <c r="D16" s="7" t="s">
        <v>105</v>
      </c>
      <c r="E16" s="7">
        <f>D9*10%*12</f>
        <v>120000</v>
      </c>
    </row>
    <row r="17" spans="2:5">
      <c r="B17" s="4"/>
      <c r="C17" s="4" t="s">
        <v>103</v>
      </c>
      <c r="D17" s="7"/>
      <c r="E17" s="7">
        <f>D9*4</f>
        <v>400000</v>
      </c>
    </row>
    <row r="18" spans="2:5">
      <c r="B18" s="4"/>
      <c r="C18" s="54" t="s">
        <v>108</v>
      </c>
      <c r="D18" s="55"/>
      <c r="E18" s="55">
        <v>500000</v>
      </c>
    </row>
    <row r="19" spans="2:5" ht="15">
      <c r="B19" s="4"/>
      <c r="C19" s="6" t="s">
        <v>6</v>
      </c>
      <c r="D19" s="8"/>
      <c r="E19" s="8">
        <f>SUM(E9:E18)</f>
        <v>3036000</v>
      </c>
    </row>
    <row r="20" spans="2:5" ht="17.25">
      <c r="B20" s="4"/>
      <c r="C20" s="6" t="s">
        <v>11</v>
      </c>
      <c r="D20" s="8"/>
      <c r="E20" s="8">
        <v>450000</v>
      </c>
    </row>
    <row r="21" spans="2:5" ht="15.75" thickBot="1">
      <c r="B21" s="6" t="s">
        <v>17</v>
      </c>
      <c r="C21" s="6" t="s">
        <v>7</v>
      </c>
      <c r="D21" s="8"/>
      <c r="E21" s="19">
        <f>E19-E20</f>
        <v>2586000</v>
      </c>
    </row>
    <row r="22" spans="2:5" ht="20.25" thickTop="1">
      <c r="B22" s="5"/>
      <c r="C22" s="4"/>
      <c r="D22" s="7"/>
      <c r="E22" s="18"/>
    </row>
    <row r="24" spans="2:5" ht="17.25">
      <c r="B24" s="13" t="s">
        <v>18</v>
      </c>
      <c r="C24" s="3" t="s">
        <v>20</v>
      </c>
    </row>
    <row r="25" spans="2:5" ht="15" thickBot="1">
      <c r="B25" s="11"/>
      <c r="C25" t="s">
        <v>22</v>
      </c>
      <c r="D25" s="12"/>
      <c r="E25" s="49"/>
    </row>
    <row r="26" spans="2:5" ht="15" thickTop="1">
      <c r="E26" s="12"/>
    </row>
    <row r="27" spans="2:5" ht="17.25">
      <c r="B27" s="13" t="s">
        <v>59</v>
      </c>
      <c r="C27" s="3" t="s">
        <v>78</v>
      </c>
      <c r="E27" s="14"/>
    </row>
    <row r="28" spans="2:5" ht="15">
      <c r="B28" s="13"/>
      <c r="C28" t="s">
        <v>193</v>
      </c>
      <c r="D28" t="s">
        <v>106</v>
      </c>
      <c r="E28" s="14">
        <f>50000*100/90</f>
        <v>55555.555555555555</v>
      </c>
    </row>
    <row r="29" spans="2:5" ht="15">
      <c r="B29" s="13"/>
      <c r="C29" t="s">
        <v>81</v>
      </c>
      <c r="D29" t="s">
        <v>109</v>
      </c>
      <c r="E29" s="14">
        <f>95000/90*100</f>
        <v>105555.55555555556</v>
      </c>
    </row>
    <row r="30" spans="2:5">
      <c r="E30" s="14"/>
    </row>
    <row r="31" spans="2:5">
      <c r="E31" s="14"/>
    </row>
    <row r="32" spans="2:5" ht="20.25" thickBot="1">
      <c r="B32" s="13"/>
      <c r="C32" s="16" t="s">
        <v>83</v>
      </c>
      <c r="E32" s="50">
        <f>E29+E30+E28</f>
        <v>161111.11111111112</v>
      </c>
    </row>
    <row r="33" spans="2:5" ht="15" thickTop="1">
      <c r="E33" s="14"/>
    </row>
    <row r="34" spans="2:5">
      <c r="E34" s="14"/>
    </row>
    <row r="35" spans="2:5" ht="19.5" customHeight="1">
      <c r="B35" s="94" t="s">
        <v>32</v>
      </c>
      <c r="C35" s="94"/>
      <c r="D35" s="94"/>
    </row>
    <row r="36" spans="2:5" ht="15" customHeight="1">
      <c r="B36" s="20"/>
      <c r="C36" s="21"/>
      <c r="D36" s="20"/>
      <c r="E36" s="20" t="s">
        <v>16</v>
      </c>
    </row>
    <row r="37" spans="2:5" ht="15" customHeight="1">
      <c r="B37">
        <v>1</v>
      </c>
      <c r="C37" s="59" t="s">
        <v>114</v>
      </c>
      <c r="D37" s="60"/>
      <c r="E37" s="60">
        <v>500000</v>
      </c>
    </row>
    <row r="38" spans="2:5">
      <c r="B38">
        <v>2</v>
      </c>
      <c r="C38" t="s">
        <v>85</v>
      </c>
      <c r="D38" s="12"/>
      <c r="E38" s="12">
        <v>120000</v>
      </c>
    </row>
    <row r="39" spans="2:5">
      <c r="B39">
        <v>3</v>
      </c>
      <c r="C39" t="s">
        <v>86</v>
      </c>
      <c r="D39" s="12"/>
      <c r="E39" s="12">
        <f>D9*10%*12*2</f>
        <v>240000</v>
      </c>
    </row>
    <row r="40" spans="2:5">
      <c r="B40">
        <v>4</v>
      </c>
      <c r="C40" t="s">
        <v>87</v>
      </c>
      <c r="D40" s="12" t="s">
        <v>107</v>
      </c>
      <c r="E40" s="12">
        <f>450000*10%</f>
        <v>45000</v>
      </c>
    </row>
    <row r="41" spans="2:5">
      <c r="B41">
        <v>5</v>
      </c>
      <c r="C41" t="s">
        <v>87</v>
      </c>
      <c r="D41" s="12" t="s">
        <v>111</v>
      </c>
      <c r="E41" s="12">
        <f>750000*10%</f>
        <v>75000</v>
      </c>
    </row>
    <row r="42" spans="2:5">
      <c r="B42">
        <v>6</v>
      </c>
      <c r="C42" s="59"/>
      <c r="D42" s="59"/>
      <c r="E42" s="60"/>
    </row>
    <row r="43" spans="2:5">
      <c r="B43">
        <v>7</v>
      </c>
      <c r="C43" t="s">
        <v>110</v>
      </c>
      <c r="E43" s="12">
        <v>50000</v>
      </c>
    </row>
    <row r="44" spans="2:5">
      <c r="E44" s="12"/>
    </row>
    <row r="45" spans="2:5" ht="15" thickBot="1">
      <c r="E45" s="50">
        <f>SUM(E37:E44)</f>
        <v>1030000</v>
      </c>
    </row>
    <row r="46" spans="2:5" ht="15" thickTop="1"/>
    <row r="48" spans="2:5" ht="15">
      <c r="C48" s="22" t="s">
        <v>33</v>
      </c>
    </row>
    <row r="49" spans="2:7" ht="15">
      <c r="C49" s="22" t="s">
        <v>101</v>
      </c>
    </row>
    <row r="50" spans="2:7" ht="15">
      <c r="C50" s="22" t="s">
        <v>100</v>
      </c>
    </row>
    <row r="52" spans="2:7" ht="15.75" thickBot="1">
      <c r="B52" s="13" t="s">
        <v>36</v>
      </c>
      <c r="C52" s="23" t="s">
        <v>37</v>
      </c>
      <c r="E52" s="24">
        <f>E21+E25+E32</f>
        <v>2747111.111111111</v>
      </c>
    </row>
    <row r="53" spans="2:7" ht="15.75" thickTop="1">
      <c r="B53" s="13"/>
    </row>
    <row r="54" spans="2:7" ht="15">
      <c r="B54" s="13" t="s">
        <v>18</v>
      </c>
    </row>
    <row r="55" spans="2:7" ht="19.5">
      <c r="C55" s="25" t="s">
        <v>38</v>
      </c>
      <c r="D55" s="26" t="s">
        <v>39</v>
      </c>
      <c r="E55" s="26" t="s">
        <v>40</v>
      </c>
      <c r="F55" s="1"/>
      <c r="G55" s="26"/>
    </row>
    <row r="56" spans="2:7" ht="19.5">
      <c r="C56" s="25"/>
      <c r="D56" s="26" t="s">
        <v>54</v>
      </c>
      <c r="E56" s="26" t="s">
        <v>55</v>
      </c>
      <c r="F56" s="1"/>
      <c r="G56" s="26"/>
    </row>
    <row r="57" spans="2:7" ht="17.25">
      <c r="C57" s="27" t="s">
        <v>43</v>
      </c>
      <c r="D57" s="29">
        <v>350000</v>
      </c>
      <c r="E57" s="28" t="s">
        <v>42</v>
      </c>
      <c r="F57" s="33"/>
      <c r="G57" s="28"/>
    </row>
    <row r="58" spans="2:7" ht="17.25">
      <c r="C58" s="27" t="s">
        <v>44</v>
      </c>
      <c r="D58" s="29">
        <v>100000</v>
      </c>
      <c r="E58" s="30">
        <f>D58*5%</f>
        <v>5000</v>
      </c>
      <c r="F58" s="33"/>
      <c r="G58" s="30"/>
    </row>
    <row r="59" spans="2:7" ht="17.25">
      <c r="C59" s="27" t="s">
        <v>45</v>
      </c>
      <c r="D59" s="29">
        <v>400000</v>
      </c>
      <c r="E59" s="30">
        <f>D59*10%</f>
        <v>40000</v>
      </c>
      <c r="F59" s="33"/>
      <c r="G59" s="30"/>
    </row>
    <row r="60" spans="2:7" ht="17.25">
      <c r="C60" s="27" t="s">
        <v>46</v>
      </c>
      <c r="D60" s="29">
        <v>500000</v>
      </c>
      <c r="E60" s="30">
        <f>D60*15%</f>
        <v>75000</v>
      </c>
      <c r="F60" s="33"/>
      <c r="G60" s="30"/>
    </row>
    <row r="61" spans="2:7" ht="17.25">
      <c r="C61" s="27" t="s">
        <v>47</v>
      </c>
      <c r="D61" s="29">
        <v>500000</v>
      </c>
      <c r="E61" s="30">
        <f>D61*20%</f>
        <v>100000</v>
      </c>
      <c r="F61" s="33"/>
      <c r="G61" s="30"/>
    </row>
    <row r="62" spans="2:7" ht="18" thickBot="1">
      <c r="C62" s="27" t="s">
        <v>48</v>
      </c>
      <c r="D62" s="29">
        <v>897111</v>
      </c>
      <c r="E62" s="30">
        <f>D62*25%</f>
        <v>224277.75</v>
      </c>
      <c r="F62" s="33"/>
      <c r="G62" s="1"/>
    </row>
    <row r="63" spans="2:7" ht="18" thickBot="1">
      <c r="C63" s="31"/>
      <c r="D63" s="35">
        <f>SUM(D57:D62)</f>
        <v>2747111</v>
      </c>
      <c r="E63" s="35">
        <f>SUM(E57:E62)</f>
        <v>444277.75</v>
      </c>
      <c r="F63" s="1"/>
      <c r="G63" s="34"/>
    </row>
    <row r="64" spans="2:7" ht="15" thickTop="1"/>
    <row r="67" spans="2:5" s="9" customFormat="1" ht="15.75" customHeight="1">
      <c r="B67" s="93"/>
      <c r="C67" s="93"/>
      <c r="D67" s="93"/>
    </row>
    <row r="68" spans="2:5" ht="19.5">
      <c r="B68" s="39" t="s">
        <v>59</v>
      </c>
      <c r="C68" s="25" t="s">
        <v>49</v>
      </c>
      <c r="D68" s="1"/>
    </row>
    <row r="69" spans="2:5" ht="19.5">
      <c r="B69" s="38" t="s">
        <v>56</v>
      </c>
      <c r="C69" s="36" t="s">
        <v>50</v>
      </c>
      <c r="D69" s="28" t="s">
        <v>41</v>
      </c>
      <c r="E69" s="30">
        <f>E52*3%</f>
        <v>82413.333333333328</v>
      </c>
    </row>
    <row r="70" spans="2:5" ht="19.5">
      <c r="B70" s="38" t="s">
        <v>57</v>
      </c>
      <c r="C70" s="36" t="s">
        <v>51</v>
      </c>
      <c r="D70" s="28" t="s">
        <v>41</v>
      </c>
      <c r="E70" s="30">
        <f>E45*15%</f>
        <v>154500</v>
      </c>
    </row>
    <row r="71" spans="2:5" ht="19.5">
      <c r="B71" s="38" t="s">
        <v>58</v>
      </c>
      <c r="C71" s="36" t="s">
        <v>52</v>
      </c>
      <c r="D71" s="28" t="s">
        <v>41</v>
      </c>
      <c r="E71" s="30">
        <v>1000000</v>
      </c>
    </row>
    <row r="72" spans="2:5" ht="19.5">
      <c r="C72" s="36" t="s">
        <v>53</v>
      </c>
      <c r="D72" s="32" t="s">
        <v>54</v>
      </c>
      <c r="E72" s="37">
        <v>82413.333333333328</v>
      </c>
    </row>
    <row r="73" spans="2:5">
      <c r="D73" s="12"/>
    </row>
    <row r="74" spans="2:5">
      <c r="D74" s="12"/>
    </row>
    <row r="75" spans="2:5" ht="17.25">
      <c r="B75" s="40" t="s">
        <v>60</v>
      </c>
      <c r="C75" s="41" t="s">
        <v>61</v>
      </c>
      <c r="D75" s="12"/>
      <c r="E75" s="37">
        <f>E63-E72</f>
        <v>361864.41666666669</v>
      </c>
    </row>
    <row r="76" spans="2:5" ht="15">
      <c r="B76" s="1"/>
      <c r="C76" s="1"/>
      <c r="D76" s="12"/>
    </row>
    <row r="77" spans="2:5" ht="17.25">
      <c r="B77" s="40" t="s">
        <v>62</v>
      </c>
      <c r="C77" s="41" t="s">
        <v>63</v>
      </c>
      <c r="D77" s="12"/>
    </row>
    <row r="78" spans="2:5" ht="19.5">
      <c r="B78" s="38" t="s">
        <v>56</v>
      </c>
      <c r="C78" s="21" t="s">
        <v>64</v>
      </c>
      <c r="D78" s="12" t="s">
        <v>54</v>
      </c>
      <c r="E78" s="44">
        <v>5000</v>
      </c>
    </row>
    <row r="79" spans="2:5" ht="19.5">
      <c r="B79" s="38" t="s">
        <v>57</v>
      </c>
      <c r="C79" s="21" t="s">
        <v>65</v>
      </c>
      <c r="D79" s="12"/>
      <c r="E79" s="45">
        <v>0</v>
      </c>
    </row>
    <row r="80" spans="2:5" ht="19.5">
      <c r="B80" s="38" t="s">
        <v>58</v>
      </c>
      <c r="C80" s="21" t="s">
        <v>66</v>
      </c>
      <c r="D80" s="10"/>
      <c r="E80" s="45">
        <v>0</v>
      </c>
    </row>
    <row r="81" spans="2:5" ht="19.5">
      <c r="B81" s="1"/>
      <c r="C81" s="36" t="s">
        <v>67</v>
      </c>
      <c r="E81" s="42"/>
    </row>
    <row r="82" spans="2:5">
      <c r="E82" s="42"/>
    </row>
    <row r="84" spans="2:5" ht="18" thickBot="1">
      <c r="B84" s="13" t="s">
        <v>19</v>
      </c>
      <c r="C84" s="43" t="s">
        <v>68</v>
      </c>
      <c r="E84" s="46">
        <v>361864.42</v>
      </c>
    </row>
    <row r="85" spans="2:5" ht="15" thickTop="1"/>
    <row r="86" spans="2:5" ht="15">
      <c r="B86" s="13" t="s">
        <v>91</v>
      </c>
      <c r="C86" s="13" t="s">
        <v>92</v>
      </c>
    </row>
    <row r="87" spans="2:5" ht="19.5">
      <c r="C87" s="36" t="s">
        <v>112</v>
      </c>
      <c r="D87" s="30">
        <v>500000</v>
      </c>
    </row>
    <row r="88" spans="2:5" ht="19.5">
      <c r="C88" s="36" t="s">
        <v>93</v>
      </c>
      <c r="D88" s="30">
        <v>5556</v>
      </c>
    </row>
    <row r="89" spans="2:5" ht="19.5">
      <c r="C89" s="57" t="s">
        <v>113</v>
      </c>
      <c r="D89" s="58">
        <v>96000</v>
      </c>
    </row>
    <row r="90" spans="2:5" ht="17.25">
      <c r="C90" t="s">
        <v>94</v>
      </c>
      <c r="D90" s="44">
        <v>10556</v>
      </c>
    </row>
    <row r="91" spans="2:5">
      <c r="E91" s="53"/>
    </row>
    <row r="92" spans="2:5" ht="15" thickBot="1">
      <c r="E92" s="52">
        <f>SUM(D87:D90)</f>
        <v>612112</v>
      </c>
    </row>
    <row r="93" spans="2:5" ht="15" thickTop="1"/>
    <row r="95" spans="2:5" ht="18" thickBot="1">
      <c r="B95" t="s">
        <v>95</v>
      </c>
      <c r="C95" s="3" t="s">
        <v>96</v>
      </c>
      <c r="D95" t="s">
        <v>54</v>
      </c>
      <c r="E95" s="56">
        <f>E84-E92</f>
        <v>-250247.58000000002</v>
      </c>
    </row>
    <row r="96" spans="2:5" ht="15" thickTop="1"/>
  </sheetData>
  <mergeCells count="5">
    <mergeCell ref="B5:E5"/>
    <mergeCell ref="B6:E6"/>
    <mergeCell ref="B7:E7"/>
    <mergeCell ref="B35:D35"/>
    <mergeCell ref="B67:D67"/>
  </mergeCells>
  <pageMargins left="0.7" right="0.7" top="0.75" bottom="0.75" header="0.3" footer="0.3"/>
  <pageSetup scale="86" orientation="portrait" r:id="rId1"/>
  <rowBreaks count="1" manualBreakCount="1">
    <brk id="53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2C211-7AF2-4F6E-839C-8CED12C58BCB}">
  <dimension ref="B2:G94"/>
  <sheetViews>
    <sheetView view="pageBreakPreview" topLeftCell="A85" zoomScale="60" zoomScaleNormal="100" workbookViewId="0">
      <selection activeCell="D47" sqref="D47"/>
    </sheetView>
  </sheetViews>
  <sheetFormatPr defaultRowHeight="14.25"/>
  <cols>
    <col min="1" max="1" width="2" customWidth="1"/>
    <col min="2" max="2" width="10" customWidth="1"/>
    <col min="3" max="3" width="46.875" customWidth="1"/>
    <col min="4" max="4" width="20.75" customWidth="1"/>
    <col min="5" max="5" width="16.25" customWidth="1"/>
  </cols>
  <sheetData>
    <row r="2" spans="2:5" ht="18">
      <c r="B2" s="47" t="s">
        <v>70</v>
      </c>
      <c r="C2" s="48" t="s">
        <v>71</v>
      </c>
    </row>
    <row r="4" spans="2:5" ht="15">
      <c r="B4" s="2"/>
    </row>
    <row r="5" spans="2:5" ht="15" customHeight="1">
      <c r="B5" s="92" t="s">
        <v>72</v>
      </c>
      <c r="C5" s="92"/>
      <c r="D5" s="92"/>
      <c r="E5" s="92"/>
    </row>
    <row r="6" spans="2:5" ht="15" customHeight="1">
      <c r="B6" s="92" t="s">
        <v>0</v>
      </c>
      <c r="C6" s="92"/>
      <c r="D6" s="92"/>
      <c r="E6" s="92"/>
    </row>
    <row r="7" spans="2:5" ht="15" customHeight="1">
      <c r="B7" s="92" t="s">
        <v>10</v>
      </c>
      <c r="C7" s="92"/>
      <c r="D7" s="92"/>
      <c r="E7" s="92"/>
    </row>
    <row r="8" spans="2:5" ht="15">
      <c r="B8" s="6" t="s">
        <v>8</v>
      </c>
      <c r="C8" s="6" t="s">
        <v>1</v>
      </c>
      <c r="D8" s="6" t="s">
        <v>2</v>
      </c>
      <c r="E8" s="6" t="s">
        <v>3</v>
      </c>
    </row>
    <row r="9" spans="2:5">
      <c r="B9" s="4"/>
      <c r="C9" s="4" t="s">
        <v>4</v>
      </c>
      <c r="D9" s="7">
        <v>150000</v>
      </c>
      <c r="E9" s="7">
        <f>D9*12</f>
        <v>1800000</v>
      </c>
    </row>
    <row r="10" spans="2:5">
      <c r="B10" s="4"/>
      <c r="C10" s="4" t="s">
        <v>5</v>
      </c>
      <c r="D10" s="7">
        <v>75000</v>
      </c>
      <c r="E10" s="7">
        <f>D10*12</f>
        <v>900000</v>
      </c>
    </row>
    <row r="11" spans="2:5">
      <c r="B11" s="4"/>
      <c r="C11" s="4" t="s">
        <v>12</v>
      </c>
      <c r="D11" s="7">
        <v>10000</v>
      </c>
      <c r="E11" s="7">
        <f t="shared" ref="E11:E12" si="0">D11*12</f>
        <v>120000</v>
      </c>
    </row>
    <row r="12" spans="2:5">
      <c r="B12" s="4"/>
      <c r="C12" s="4" t="s">
        <v>74</v>
      </c>
      <c r="D12" s="7">
        <v>5000</v>
      </c>
      <c r="E12" s="7">
        <f t="shared" si="0"/>
        <v>60000</v>
      </c>
    </row>
    <row r="13" spans="2:5">
      <c r="B13" s="4"/>
      <c r="C13" s="4" t="s">
        <v>75</v>
      </c>
      <c r="D13" s="7">
        <v>10000</v>
      </c>
      <c r="E13" s="7">
        <f>D13*12</f>
        <v>120000</v>
      </c>
    </row>
    <row r="14" spans="2:5">
      <c r="B14" s="4"/>
      <c r="C14" s="4" t="s">
        <v>76</v>
      </c>
      <c r="D14" s="7">
        <v>5000</v>
      </c>
      <c r="E14" s="7">
        <f>D14*12</f>
        <v>60000</v>
      </c>
    </row>
    <row r="15" spans="2:5">
      <c r="B15" s="4"/>
      <c r="C15" s="4" t="s">
        <v>73</v>
      </c>
      <c r="D15" s="7"/>
      <c r="E15" s="7">
        <f>D9*1.5*2</f>
        <v>450000</v>
      </c>
    </row>
    <row r="16" spans="2:5">
      <c r="B16" s="4"/>
      <c r="C16" s="4" t="s">
        <v>77</v>
      </c>
      <c r="D16" s="7" t="s">
        <v>104</v>
      </c>
      <c r="E16" s="7">
        <f>D9*10%*12</f>
        <v>180000</v>
      </c>
    </row>
    <row r="17" spans="2:5">
      <c r="B17" s="4"/>
      <c r="C17" s="4"/>
      <c r="D17" s="7"/>
      <c r="E17" s="7"/>
    </row>
    <row r="18" spans="2:5">
      <c r="B18" s="4"/>
      <c r="C18" s="4"/>
      <c r="D18" s="7"/>
      <c r="E18" s="7"/>
    </row>
    <row r="19" spans="2:5" ht="15">
      <c r="B19" s="4"/>
      <c r="C19" s="6" t="s">
        <v>6</v>
      </c>
      <c r="D19" s="8"/>
      <c r="E19" s="8">
        <f>SUM(E9:E18)</f>
        <v>3690000</v>
      </c>
    </row>
    <row r="20" spans="2:5" ht="17.25">
      <c r="B20" s="4"/>
      <c r="C20" s="6" t="s">
        <v>11</v>
      </c>
      <c r="D20" s="8"/>
      <c r="E20" s="8">
        <v>450000</v>
      </c>
    </row>
    <row r="21" spans="2:5" ht="15.75" thickBot="1">
      <c r="B21" s="6" t="s">
        <v>17</v>
      </c>
      <c r="C21" s="6" t="s">
        <v>7</v>
      </c>
      <c r="D21" s="8"/>
      <c r="E21" s="19">
        <f>E19-E20</f>
        <v>3240000</v>
      </c>
    </row>
    <row r="22" spans="2:5" ht="20.25" thickTop="1">
      <c r="B22" s="5"/>
      <c r="C22" s="4"/>
      <c r="D22" s="7"/>
      <c r="E22" s="18"/>
    </row>
    <row r="24" spans="2:5" ht="17.25">
      <c r="B24" s="13" t="s">
        <v>18</v>
      </c>
      <c r="C24" s="3" t="s">
        <v>20</v>
      </c>
    </row>
    <row r="25" spans="2:5">
      <c r="B25" s="11"/>
      <c r="C25" t="s">
        <v>22</v>
      </c>
      <c r="D25" s="12"/>
      <c r="E25" s="12">
        <v>300000</v>
      </c>
    </row>
    <row r="26" spans="2:5">
      <c r="B26" s="87" t="s">
        <v>21</v>
      </c>
      <c r="C26" s="59" t="s">
        <v>217</v>
      </c>
      <c r="D26" s="60" t="s">
        <v>218</v>
      </c>
      <c r="E26" s="60">
        <f>E25*25%</f>
        <v>75000</v>
      </c>
    </row>
    <row r="27" spans="2:5" ht="15.75" thickBot="1">
      <c r="B27" s="11"/>
      <c r="D27" s="12"/>
      <c r="E27" s="86">
        <f>E25-E26</f>
        <v>225000</v>
      </c>
    </row>
    <row r="28" spans="2:5" ht="15" thickTop="1">
      <c r="E28" s="12"/>
    </row>
    <row r="29" spans="2:5" ht="17.25">
      <c r="B29" s="13" t="s">
        <v>59</v>
      </c>
      <c r="C29" s="3" t="s">
        <v>78</v>
      </c>
      <c r="E29" s="14"/>
    </row>
    <row r="30" spans="2:5" ht="15">
      <c r="B30" s="13"/>
      <c r="C30" t="s">
        <v>79</v>
      </c>
      <c r="D30" t="s">
        <v>80</v>
      </c>
      <c r="E30" s="14">
        <f>45000*100/90</f>
        <v>50000</v>
      </c>
    </row>
    <row r="31" spans="2:5" ht="15">
      <c r="B31" s="13"/>
      <c r="C31" t="s">
        <v>81</v>
      </c>
      <c r="D31" t="s">
        <v>82</v>
      </c>
      <c r="E31" s="14">
        <f>90000/90*100</f>
        <v>100000</v>
      </c>
    </row>
    <row r="32" spans="2:5">
      <c r="E32" s="14"/>
    </row>
    <row r="33" spans="2:5">
      <c r="E33" s="14"/>
    </row>
    <row r="34" spans="2:5" ht="20.25" thickBot="1">
      <c r="B34" s="13"/>
      <c r="C34" s="16" t="s">
        <v>83</v>
      </c>
      <c r="E34" s="50">
        <f>E31+E32+E30</f>
        <v>150000</v>
      </c>
    </row>
    <row r="35" spans="2:5" ht="15" thickTop="1">
      <c r="E35" s="14"/>
    </row>
    <row r="36" spans="2:5">
      <c r="E36" s="14"/>
    </row>
    <row r="37" spans="2:5" ht="19.5" customHeight="1">
      <c r="B37" s="94" t="s">
        <v>32</v>
      </c>
      <c r="C37" s="94"/>
      <c r="D37" s="94"/>
    </row>
    <row r="38" spans="2:5" ht="15" customHeight="1">
      <c r="B38" s="20"/>
      <c r="C38" s="21"/>
      <c r="D38" s="20"/>
      <c r="E38" s="20" t="s">
        <v>16</v>
      </c>
    </row>
    <row r="39" spans="2:5" ht="15" customHeight="1">
      <c r="B39">
        <v>1</v>
      </c>
      <c r="C39" t="s">
        <v>84</v>
      </c>
      <c r="D39" s="12"/>
      <c r="E39" s="12">
        <v>500000</v>
      </c>
    </row>
    <row r="40" spans="2:5">
      <c r="B40">
        <v>2</v>
      </c>
      <c r="C40" t="s">
        <v>85</v>
      </c>
      <c r="D40" s="12"/>
      <c r="E40" s="12">
        <v>120000</v>
      </c>
    </row>
    <row r="41" spans="2:5">
      <c r="B41">
        <v>3</v>
      </c>
      <c r="C41" t="s">
        <v>86</v>
      </c>
      <c r="D41" s="12"/>
      <c r="E41" s="12">
        <f>D9*10%*12*2</f>
        <v>360000</v>
      </c>
    </row>
    <row r="42" spans="2:5">
      <c r="B42">
        <v>4</v>
      </c>
      <c r="C42" t="s">
        <v>87</v>
      </c>
      <c r="D42" s="12" t="s">
        <v>88</v>
      </c>
      <c r="E42" s="12">
        <f>900000*10%</f>
        <v>90000</v>
      </c>
    </row>
    <row r="44" spans="2:5" ht="15" thickBot="1">
      <c r="E44" s="50">
        <f>SUM(E39:E42)</f>
        <v>1070000</v>
      </c>
    </row>
    <row r="45" spans="2:5" ht="15" thickTop="1"/>
    <row r="47" spans="2:5" ht="15">
      <c r="C47" s="22" t="s">
        <v>33</v>
      </c>
    </row>
    <row r="48" spans="2:5" ht="15">
      <c r="C48" s="22" t="s">
        <v>102</v>
      </c>
    </row>
    <row r="49" spans="2:7" ht="15">
      <c r="C49" s="22" t="s">
        <v>35</v>
      </c>
    </row>
    <row r="51" spans="2:7" ht="15.75" thickBot="1">
      <c r="B51" s="13" t="s">
        <v>36</v>
      </c>
      <c r="C51" s="23" t="s">
        <v>37</v>
      </c>
      <c r="E51" s="24">
        <f>E21+E27+E34</f>
        <v>3615000</v>
      </c>
    </row>
    <row r="52" spans="2:7" ht="15.75" thickTop="1">
      <c r="B52" s="13"/>
    </row>
    <row r="53" spans="2:7" ht="15">
      <c r="B53" s="13" t="s">
        <v>18</v>
      </c>
    </row>
    <row r="54" spans="2:7" ht="19.5">
      <c r="C54" s="25" t="s">
        <v>38</v>
      </c>
      <c r="D54" s="26" t="s">
        <v>39</v>
      </c>
      <c r="E54" s="26" t="s">
        <v>40</v>
      </c>
      <c r="F54" s="1"/>
      <c r="G54" s="26"/>
    </row>
    <row r="55" spans="2:7" ht="19.5">
      <c r="C55" s="25"/>
      <c r="D55" s="26" t="s">
        <v>54</v>
      </c>
      <c r="E55" s="26" t="s">
        <v>55</v>
      </c>
      <c r="F55" s="1"/>
      <c r="G55" s="26"/>
    </row>
    <row r="56" spans="2:7" ht="17.25">
      <c r="C56" s="27" t="s">
        <v>43</v>
      </c>
      <c r="D56" s="29">
        <v>350000</v>
      </c>
      <c r="E56" s="28" t="s">
        <v>42</v>
      </c>
      <c r="F56" s="33"/>
      <c r="G56" s="28"/>
    </row>
    <row r="57" spans="2:7" ht="17.25">
      <c r="C57" s="27" t="s">
        <v>44</v>
      </c>
      <c r="D57" s="29">
        <v>100000</v>
      </c>
      <c r="E57" s="30">
        <f>D57*5%</f>
        <v>5000</v>
      </c>
      <c r="F57" s="33"/>
      <c r="G57" s="30"/>
    </row>
    <row r="58" spans="2:7" ht="17.25">
      <c r="C58" s="27" t="s">
        <v>45</v>
      </c>
      <c r="D58" s="29">
        <v>400000</v>
      </c>
      <c r="E58" s="30">
        <f>D58*10%</f>
        <v>40000</v>
      </c>
      <c r="F58" s="33"/>
      <c r="G58" s="30"/>
    </row>
    <row r="59" spans="2:7" ht="17.25">
      <c r="C59" s="27" t="s">
        <v>46</v>
      </c>
      <c r="D59" s="29">
        <v>500000</v>
      </c>
      <c r="E59" s="30">
        <f>D59*15%</f>
        <v>75000</v>
      </c>
      <c r="F59" s="33"/>
      <c r="G59" s="30"/>
    </row>
    <row r="60" spans="2:7" ht="17.25">
      <c r="C60" s="27" t="s">
        <v>47</v>
      </c>
      <c r="D60" s="29">
        <v>500000</v>
      </c>
      <c r="E60" s="30">
        <f>D60*20%</f>
        <v>100000</v>
      </c>
      <c r="F60" s="33"/>
      <c r="G60" s="30"/>
    </row>
    <row r="61" spans="2:7" ht="18" thickBot="1">
      <c r="C61" s="27" t="s">
        <v>48</v>
      </c>
      <c r="D61" s="29">
        <v>1765000</v>
      </c>
      <c r="E61" s="30">
        <f>D61*25%</f>
        <v>441250</v>
      </c>
      <c r="F61" s="33"/>
      <c r="G61" s="1"/>
    </row>
    <row r="62" spans="2:7" ht="18" thickBot="1">
      <c r="C62" s="31"/>
      <c r="D62" s="35">
        <f>SUM(D56:D61)</f>
        <v>3615000</v>
      </c>
      <c r="E62" s="35">
        <f>SUM(E56:E61)</f>
        <v>661250</v>
      </c>
      <c r="F62" s="1"/>
      <c r="G62" s="34"/>
    </row>
    <row r="63" spans="2:7" ht="15" thickTop="1"/>
    <row r="66" spans="2:5" s="9" customFormat="1" ht="15.75" customHeight="1">
      <c r="B66" s="93"/>
      <c r="C66" s="93"/>
      <c r="D66" s="93"/>
    </row>
    <row r="67" spans="2:5" ht="19.5">
      <c r="B67" s="39" t="s">
        <v>59</v>
      </c>
      <c r="C67" s="25" t="s">
        <v>49</v>
      </c>
      <c r="D67" s="1"/>
    </row>
    <row r="68" spans="2:5" ht="19.5">
      <c r="B68" s="38" t="s">
        <v>56</v>
      </c>
      <c r="C68" s="36" t="s">
        <v>50</v>
      </c>
      <c r="D68" s="28" t="s">
        <v>41</v>
      </c>
      <c r="E68" s="30">
        <f>E51*3%</f>
        <v>108450</v>
      </c>
    </row>
    <row r="69" spans="2:5" ht="19.5">
      <c r="B69" s="38" t="s">
        <v>57</v>
      </c>
      <c r="C69" s="36" t="s">
        <v>51</v>
      </c>
      <c r="D69" s="28" t="s">
        <v>41</v>
      </c>
      <c r="E69" s="30">
        <f>E44*15%</f>
        <v>160500</v>
      </c>
    </row>
    <row r="70" spans="2:5" ht="19.5">
      <c r="B70" s="38" t="s">
        <v>58</v>
      </c>
      <c r="C70" s="36" t="s">
        <v>52</v>
      </c>
      <c r="D70" s="28" t="s">
        <v>41</v>
      </c>
      <c r="E70" s="30">
        <v>1000000</v>
      </c>
    </row>
    <row r="71" spans="2:5" ht="19.5">
      <c r="C71" s="36" t="s">
        <v>53</v>
      </c>
      <c r="D71" s="32" t="s">
        <v>54</v>
      </c>
      <c r="E71" s="37">
        <v>108450</v>
      </c>
    </row>
    <row r="72" spans="2:5">
      <c r="D72" s="12"/>
    </row>
    <row r="73" spans="2:5">
      <c r="D73" s="12"/>
    </row>
    <row r="74" spans="2:5" ht="17.25">
      <c r="B74" s="40" t="s">
        <v>60</v>
      </c>
      <c r="C74" s="41" t="s">
        <v>61</v>
      </c>
      <c r="D74" s="12"/>
      <c r="E74" s="37">
        <f>E62-E71</f>
        <v>552800</v>
      </c>
    </row>
    <row r="75" spans="2:5" ht="15">
      <c r="B75" s="1"/>
      <c r="C75" s="1"/>
      <c r="D75" s="12"/>
    </row>
    <row r="76" spans="2:5" ht="17.25">
      <c r="B76" s="40" t="s">
        <v>62</v>
      </c>
      <c r="C76" s="41" t="s">
        <v>63</v>
      </c>
      <c r="D76" s="12"/>
    </row>
    <row r="77" spans="2:5" ht="19.5">
      <c r="B77" s="38" t="s">
        <v>56</v>
      </c>
      <c r="C77" s="21" t="s">
        <v>64</v>
      </c>
      <c r="D77" s="12" t="s">
        <v>54</v>
      </c>
      <c r="E77" s="44">
        <v>5000</v>
      </c>
    </row>
    <row r="78" spans="2:5" ht="19.5">
      <c r="B78" s="38" t="s">
        <v>57</v>
      </c>
      <c r="C78" s="21" t="s">
        <v>65</v>
      </c>
      <c r="D78" s="12"/>
      <c r="E78" s="45">
        <v>0</v>
      </c>
    </row>
    <row r="79" spans="2:5" ht="19.5">
      <c r="B79" s="38" t="s">
        <v>58</v>
      </c>
      <c r="C79" s="21" t="s">
        <v>66</v>
      </c>
      <c r="D79" s="10"/>
      <c r="E79" s="45">
        <v>0</v>
      </c>
    </row>
    <row r="80" spans="2:5" ht="19.5">
      <c r="B80" s="1"/>
      <c r="C80" s="36" t="s">
        <v>67</v>
      </c>
      <c r="E80" s="42"/>
    </row>
    <row r="81" spans="2:5">
      <c r="E81" s="42"/>
    </row>
    <row r="83" spans="2:5" ht="18" thickBot="1">
      <c r="B83" s="13" t="s">
        <v>19</v>
      </c>
      <c r="C83" s="43" t="s">
        <v>68</v>
      </c>
      <c r="E83" s="46">
        <v>552800</v>
      </c>
    </row>
    <row r="84" spans="2:5" ht="15" thickTop="1"/>
    <row r="85" spans="2:5" ht="15">
      <c r="B85" s="13" t="s">
        <v>91</v>
      </c>
      <c r="C85" s="13" t="s">
        <v>92</v>
      </c>
    </row>
    <row r="87" spans="2:5" ht="19.5">
      <c r="C87" s="36" t="s">
        <v>93</v>
      </c>
      <c r="D87" s="30">
        <v>5000</v>
      </c>
    </row>
    <row r="88" spans="2:5" ht="17.25">
      <c r="C88" t="s">
        <v>94</v>
      </c>
      <c r="D88" s="44">
        <v>10000</v>
      </c>
    </row>
    <row r="89" spans="2:5">
      <c r="E89" s="53"/>
    </row>
    <row r="90" spans="2:5" ht="15" thickBot="1">
      <c r="E90" s="52">
        <f>D87+D88</f>
        <v>15000</v>
      </c>
    </row>
    <row r="91" spans="2:5" ht="15" thickTop="1"/>
    <row r="93" spans="2:5" ht="18" thickBot="1">
      <c r="B93" t="s">
        <v>95</v>
      </c>
      <c r="C93" s="3" t="s">
        <v>96</v>
      </c>
      <c r="D93" t="s">
        <v>54</v>
      </c>
      <c r="E93" s="51">
        <f>E83-E90</f>
        <v>537800</v>
      </c>
    </row>
    <row r="94" spans="2:5" ht="15" thickTop="1"/>
  </sheetData>
  <mergeCells count="5">
    <mergeCell ref="B5:E5"/>
    <mergeCell ref="B6:E6"/>
    <mergeCell ref="B7:E7"/>
    <mergeCell ref="B37:D37"/>
    <mergeCell ref="B66:D66"/>
  </mergeCells>
  <pageMargins left="0.7" right="0.7" top="0.75" bottom="0.75" header="0.3" footer="0.3"/>
  <pageSetup scale="86" orientation="portrait" r:id="rId1"/>
  <rowBreaks count="1" manualBreakCount="1">
    <brk id="52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55EBE-57CA-4F50-AD67-C5211103CDA4}">
  <dimension ref="B2:G96"/>
  <sheetViews>
    <sheetView view="pageBreakPreview" zoomScale="60" zoomScaleNormal="100" workbookViewId="0">
      <selection activeCell="F102" sqref="F102"/>
    </sheetView>
  </sheetViews>
  <sheetFormatPr defaultRowHeight="14.25"/>
  <cols>
    <col min="1" max="1" width="2" customWidth="1"/>
    <col min="2" max="2" width="10" customWidth="1"/>
    <col min="3" max="3" width="46.875" customWidth="1"/>
    <col min="4" max="4" width="20.75" customWidth="1"/>
    <col min="5" max="5" width="16.25" customWidth="1"/>
  </cols>
  <sheetData>
    <row r="2" spans="2:5" ht="18">
      <c r="B2" s="47" t="s">
        <v>70</v>
      </c>
      <c r="C2" s="48" t="s">
        <v>137</v>
      </c>
    </row>
    <row r="4" spans="2:5" ht="15">
      <c r="B4" s="2"/>
    </row>
    <row r="5" spans="2:5" ht="15" customHeight="1">
      <c r="B5" s="92" t="s">
        <v>149</v>
      </c>
      <c r="C5" s="92"/>
      <c r="D5" s="92"/>
      <c r="E5" s="92"/>
    </row>
    <row r="6" spans="2:5" ht="15" customHeight="1">
      <c r="B6" s="92" t="s">
        <v>0</v>
      </c>
      <c r="C6" s="92"/>
      <c r="D6" s="92"/>
      <c r="E6" s="92"/>
    </row>
    <row r="7" spans="2:5" ht="15" customHeight="1">
      <c r="B7" s="92" t="s">
        <v>99</v>
      </c>
      <c r="C7" s="92"/>
      <c r="D7" s="92"/>
      <c r="E7" s="92"/>
    </row>
    <row r="8" spans="2:5" ht="15">
      <c r="B8" s="6" t="s">
        <v>8</v>
      </c>
      <c r="C8" s="6" t="s">
        <v>1</v>
      </c>
      <c r="D8" s="6" t="s">
        <v>2</v>
      </c>
      <c r="E8" s="6" t="s">
        <v>3</v>
      </c>
    </row>
    <row r="9" spans="2:5">
      <c r="B9" s="4"/>
      <c r="C9" s="4" t="s">
        <v>4</v>
      </c>
      <c r="D9" s="7">
        <v>0</v>
      </c>
      <c r="E9" s="7">
        <v>1080000</v>
      </c>
    </row>
    <row r="10" spans="2:5">
      <c r="B10" s="4"/>
      <c r="C10" s="4" t="s">
        <v>5</v>
      </c>
      <c r="D10" s="7"/>
      <c r="E10" s="7">
        <v>540000</v>
      </c>
    </row>
    <row r="11" spans="2:5">
      <c r="B11" s="4"/>
      <c r="C11" s="4" t="s">
        <v>12</v>
      </c>
      <c r="D11" s="7"/>
      <c r="E11" s="7">
        <v>120000</v>
      </c>
    </row>
    <row r="12" spans="2:5">
      <c r="B12" s="4"/>
      <c r="C12" s="4" t="s">
        <v>138</v>
      </c>
      <c r="D12" s="7"/>
      <c r="E12" s="7">
        <v>100000</v>
      </c>
    </row>
    <row r="13" spans="2:5">
      <c r="B13" s="4"/>
      <c r="C13" s="4" t="s">
        <v>140</v>
      </c>
      <c r="D13" s="7"/>
      <c r="E13" s="7">
        <v>72000</v>
      </c>
    </row>
    <row r="14" spans="2:5">
      <c r="B14" s="4"/>
      <c r="C14" s="4" t="s">
        <v>139</v>
      </c>
      <c r="D14" s="7"/>
      <c r="E14" s="7">
        <v>270000</v>
      </c>
    </row>
    <row r="15" spans="2:5">
      <c r="B15" s="4"/>
      <c r="C15" s="4" t="s">
        <v>146</v>
      </c>
      <c r="D15" s="7"/>
      <c r="E15" s="7">
        <v>180000</v>
      </c>
    </row>
    <row r="16" spans="2:5">
      <c r="B16" s="4"/>
      <c r="C16" s="4" t="s">
        <v>147</v>
      </c>
      <c r="D16" s="7"/>
      <c r="E16" s="7">
        <v>86400</v>
      </c>
    </row>
    <row r="17" spans="2:5">
      <c r="B17" s="4"/>
      <c r="C17" s="4"/>
      <c r="D17" s="7"/>
      <c r="E17" s="7">
        <f>D9*4</f>
        <v>0</v>
      </c>
    </row>
    <row r="18" spans="2:5">
      <c r="B18" s="4"/>
      <c r="C18" s="54"/>
      <c r="D18" s="55"/>
      <c r="E18" s="55"/>
    </row>
    <row r="19" spans="2:5" ht="15">
      <c r="B19" s="4"/>
      <c r="C19" s="6" t="s">
        <v>6</v>
      </c>
      <c r="D19" s="8"/>
      <c r="E19" s="8">
        <f>SUM(E9:E18)</f>
        <v>2448400</v>
      </c>
    </row>
    <row r="20" spans="2:5" ht="17.25">
      <c r="B20" s="4"/>
      <c r="C20" s="6" t="s">
        <v>11</v>
      </c>
      <c r="D20" s="8"/>
      <c r="E20" s="8">
        <v>450000</v>
      </c>
    </row>
    <row r="21" spans="2:5" ht="15.75" thickBot="1">
      <c r="B21" s="6" t="s">
        <v>17</v>
      </c>
      <c r="C21" s="6" t="s">
        <v>7</v>
      </c>
      <c r="D21" s="8"/>
      <c r="E21" s="19">
        <f>E19-E20</f>
        <v>1998400</v>
      </c>
    </row>
    <row r="22" spans="2:5" ht="20.25" thickTop="1">
      <c r="B22" s="5"/>
      <c r="C22" s="4"/>
      <c r="D22" s="7"/>
      <c r="E22" s="18"/>
    </row>
    <row r="24" spans="2:5" ht="17.25">
      <c r="B24" s="13" t="s">
        <v>18</v>
      </c>
      <c r="C24" s="3" t="s">
        <v>20</v>
      </c>
    </row>
    <row r="25" spans="2:5" ht="15" thickBot="1">
      <c r="B25" s="11"/>
      <c r="C25" t="s">
        <v>22</v>
      </c>
      <c r="D25" s="12"/>
      <c r="E25" s="49"/>
    </row>
    <row r="26" spans="2:5" ht="15" thickTop="1">
      <c r="E26" s="12"/>
    </row>
    <row r="27" spans="2:5" ht="17.25">
      <c r="B27" s="13" t="s">
        <v>59</v>
      </c>
      <c r="C27" s="3" t="s">
        <v>78</v>
      </c>
      <c r="E27" s="14"/>
    </row>
    <row r="28" spans="2:5" ht="15">
      <c r="B28" s="13"/>
      <c r="C28" t="s">
        <v>143</v>
      </c>
      <c r="E28" s="14">
        <v>400000</v>
      </c>
    </row>
    <row r="29" spans="2:5" ht="15">
      <c r="B29" s="13"/>
      <c r="C29" t="s">
        <v>144</v>
      </c>
      <c r="E29" s="14">
        <v>225000</v>
      </c>
    </row>
    <row r="30" spans="2:5">
      <c r="E30" s="14"/>
    </row>
    <row r="31" spans="2:5">
      <c r="E31" s="14"/>
    </row>
    <row r="32" spans="2:5" ht="20.25" thickBot="1">
      <c r="B32" s="13"/>
      <c r="C32" s="16" t="s">
        <v>83</v>
      </c>
      <c r="E32" s="50">
        <f>E29+E30+E28</f>
        <v>625000</v>
      </c>
    </row>
    <row r="33" spans="2:5" ht="15" thickTop="1">
      <c r="E33" s="14"/>
    </row>
    <row r="34" spans="2:5">
      <c r="E34" s="14"/>
    </row>
    <row r="35" spans="2:5" ht="19.5" customHeight="1">
      <c r="B35" s="94" t="s">
        <v>32</v>
      </c>
      <c r="C35" s="94"/>
      <c r="D35" s="94"/>
    </row>
    <row r="36" spans="2:5" ht="15" customHeight="1">
      <c r="B36" s="20"/>
      <c r="C36" s="21"/>
      <c r="D36" s="20"/>
      <c r="E36" s="20" t="s">
        <v>16</v>
      </c>
    </row>
    <row r="37" spans="2:5" ht="15" customHeight="1">
      <c r="B37">
        <v>1</v>
      </c>
      <c r="C37" s="75" t="s">
        <v>142</v>
      </c>
      <c r="D37" s="76"/>
      <c r="E37" s="76">
        <v>500000</v>
      </c>
    </row>
    <row r="38" spans="2:5">
      <c r="B38">
        <v>2</v>
      </c>
      <c r="C38" t="s">
        <v>85</v>
      </c>
      <c r="D38" s="12"/>
      <c r="E38" s="12"/>
    </row>
    <row r="39" spans="2:5">
      <c r="B39">
        <v>3</v>
      </c>
      <c r="C39" t="s">
        <v>86</v>
      </c>
      <c r="D39" s="12"/>
      <c r="E39" s="12">
        <f>86400*2</f>
        <v>172800</v>
      </c>
    </row>
    <row r="40" spans="2:5">
      <c r="B40">
        <v>4</v>
      </c>
      <c r="C40" t="s">
        <v>87</v>
      </c>
      <c r="D40" s="12" t="s">
        <v>107</v>
      </c>
      <c r="E40" s="12"/>
    </row>
    <row r="41" spans="2:5">
      <c r="B41">
        <v>5</v>
      </c>
      <c r="C41" t="s">
        <v>87</v>
      </c>
      <c r="D41" s="12" t="s">
        <v>111</v>
      </c>
      <c r="E41" s="12"/>
    </row>
    <row r="42" spans="2:5">
      <c r="B42">
        <v>6</v>
      </c>
      <c r="C42" s="59"/>
      <c r="D42" s="59"/>
      <c r="E42" s="60"/>
    </row>
    <row r="43" spans="2:5">
      <c r="B43">
        <v>7</v>
      </c>
      <c r="C43" t="s">
        <v>110</v>
      </c>
      <c r="E43" s="12"/>
    </row>
    <row r="44" spans="2:5">
      <c r="E44" s="12"/>
    </row>
    <row r="45" spans="2:5" ht="15" thickBot="1">
      <c r="E45" s="50">
        <f>SUM(E37:E44)</f>
        <v>672800</v>
      </c>
    </row>
    <row r="46" spans="2:5" ht="15" thickTop="1"/>
    <row r="48" spans="2:5" ht="15">
      <c r="C48" s="22" t="s">
        <v>33</v>
      </c>
    </row>
    <row r="49" spans="2:7" ht="15">
      <c r="C49" s="22" t="s">
        <v>150</v>
      </c>
    </row>
    <row r="50" spans="2:7" ht="15">
      <c r="C50" s="22" t="s">
        <v>134</v>
      </c>
    </row>
    <row r="52" spans="2:7" ht="15.75" thickBot="1">
      <c r="B52" s="13" t="s">
        <v>36</v>
      </c>
      <c r="C52" s="23" t="s">
        <v>37</v>
      </c>
      <c r="E52" s="24">
        <f>E21+E25+E32</f>
        <v>2623400</v>
      </c>
    </row>
    <row r="53" spans="2:7" ht="15.75" thickTop="1">
      <c r="B53" s="13"/>
    </row>
    <row r="54" spans="2:7" ht="15">
      <c r="B54" s="13" t="s">
        <v>18</v>
      </c>
    </row>
    <row r="55" spans="2:7" ht="19.5">
      <c r="C55" s="25" t="s">
        <v>38</v>
      </c>
      <c r="D55" s="26" t="s">
        <v>39</v>
      </c>
      <c r="E55" s="26" t="s">
        <v>40</v>
      </c>
      <c r="F55" s="1"/>
      <c r="G55" s="26"/>
    </row>
    <row r="56" spans="2:7" ht="19.5">
      <c r="C56" s="25"/>
      <c r="D56" s="26" t="s">
        <v>54</v>
      </c>
      <c r="E56" s="26" t="s">
        <v>55</v>
      </c>
      <c r="F56" s="1"/>
      <c r="G56" s="26"/>
    </row>
    <row r="57" spans="2:7" ht="17.25">
      <c r="C57" s="27" t="s">
        <v>43</v>
      </c>
      <c r="D57" s="29">
        <v>350000</v>
      </c>
      <c r="E57" s="28" t="s">
        <v>42</v>
      </c>
      <c r="F57" s="33"/>
      <c r="G57" s="28"/>
    </row>
    <row r="58" spans="2:7" ht="17.25">
      <c r="C58" s="27" t="s">
        <v>44</v>
      </c>
      <c r="D58" s="29">
        <v>100000</v>
      </c>
      <c r="E58" s="30">
        <f>D58*5%</f>
        <v>5000</v>
      </c>
      <c r="F58" s="33"/>
      <c r="G58" s="30"/>
    </row>
    <row r="59" spans="2:7" ht="17.25">
      <c r="C59" s="27" t="s">
        <v>45</v>
      </c>
      <c r="D59" s="29">
        <v>400000</v>
      </c>
      <c r="E59" s="30">
        <f>D59*10%</f>
        <v>40000</v>
      </c>
      <c r="F59" s="33"/>
      <c r="G59" s="30"/>
    </row>
    <row r="60" spans="2:7" ht="17.25">
      <c r="C60" s="27" t="s">
        <v>46</v>
      </c>
      <c r="D60" s="29">
        <v>500000</v>
      </c>
      <c r="E60" s="30">
        <f>D60*15%</f>
        <v>75000</v>
      </c>
      <c r="F60" s="33"/>
      <c r="G60" s="30"/>
    </row>
    <row r="61" spans="2:7" ht="17.25">
      <c r="C61" s="27" t="s">
        <v>47</v>
      </c>
      <c r="D61" s="29">
        <v>500000</v>
      </c>
      <c r="E61" s="30">
        <f>D61*20%</f>
        <v>100000</v>
      </c>
      <c r="F61" s="33"/>
      <c r="G61" s="30"/>
    </row>
    <row r="62" spans="2:7" ht="18" thickBot="1">
      <c r="C62" s="27" t="s">
        <v>48</v>
      </c>
      <c r="D62" s="29">
        <v>773400</v>
      </c>
      <c r="E62" s="30">
        <f>D62*25%</f>
        <v>193350</v>
      </c>
      <c r="F62" s="33"/>
      <c r="G62" s="1"/>
    </row>
    <row r="63" spans="2:7" ht="18" thickBot="1">
      <c r="C63" s="31"/>
      <c r="D63" s="35">
        <f>SUM(D57:D62)</f>
        <v>2623400</v>
      </c>
      <c r="E63" s="35">
        <f>SUM(E57:E62)</f>
        <v>413350</v>
      </c>
      <c r="F63" s="1"/>
      <c r="G63" s="34"/>
    </row>
    <row r="64" spans="2:7" ht="15" thickTop="1"/>
    <row r="67" spans="2:5" s="9" customFormat="1" ht="15.75" customHeight="1">
      <c r="B67" s="93"/>
      <c r="C67" s="93"/>
      <c r="D67" s="93"/>
    </row>
    <row r="68" spans="2:5" ht="19.5">
      <c r="B68" s="39" t="s">
        <v>59</v>
      </c>
      <c r="C68" s="25" t="s">
        <v>49</v>
      </c>
      <c r="D68" s="1"/>
    </row>
    <row r="69" spans="2:5" ht="19.5">
      <c r="B69" s="38" t="s">
        <v>56</v>
      </c>
      <c r="C69" s="36" t="s">
        <v>50</v>
      </c>
      <c r="D69" s="28" t="s">
        <v>41</v>
      </c>
      <c r="E69" s="30">
        <f>E52*3%</f>
        <v>78702</v>
      </c>
    </row>
    <row r="70" spans="2:5" ht="19.5">
      <c r="B70" s="38" t="s">
        <v>57</v>
      </c>
      <c r="C70" s="36" t="s">
        <v>51</v>
      </c>
      <c r="D70" s="28" t="s">
        <v>41</v>
      </c>
      <c r="E70" s="30">
        <f>E45*15%</f>
        <v>100920</v>
      </c>
    </row>
    <row r="71" spans="2:5" ht="19.5">
      <c r="B71" s="38" t="s">
        <v>58</v>
      </c>
      <c r="C71" s="36" t="s">
        <v>52</v>
      </c>
      <c r="D71" s="28" t="s">
        <v>41</v>
      </c>
      <c r="E71" s="30">
        <v>1000000</v>
      </c>
    </row>
    <row r="72" spans="2:5" ht="19.5">
      <c r="C72" s="36" t="s">
        <v>53</v>
      </c>
      <c r="D72" s="32" t="s">
        <v>54</v>
      </c>
      <c r="E72" s="37">
        <v>78702</v>
      </c>
    </row>
    <row r="73" spans="2:5">
      <c r="D73" s="12"/>
    </row>
    <row r="74" spans="2:5">
      <c r="D74" s="12"/>
    </row>
    <row r="75" spans="2:5" ht="17.25">
      <c r="B75" s="40" t="s">
        <v>60</v>
      </c>
      <c r="C75" s="41" t="s">
        <v>61</v>
      </c>
      <c r="D75" s="12"/>
      <c r="E75" s="37">
        <f>E63-E72</f>
        <v>334648</v>
      </c>
    </row>
    <row r="76" spans="2:5" ht="15">
      <c r="B76" s="1"/>
      <c r="C76" s="1"/>
      <c r="D76" s="12"/>
    </row>
    <row r="77" spans="2:5" ht="17.25">
      <c r="B77" s="40" t="s">
        <v>62</v>
      </c>
      <c r="C77" s="41" t="s">
        <v>63</v>
      </c>
      <c r="D77" s="12"/>
    </row>
    <row r="78" spans="2:5" ht="19.5">
      <c r="B78" s="38" t="s">
        <v>56</v>
      </c>
      <c r="C78" s="21" t="s">
        <v>64</v>
      </c>
      <c r="D78" s="12" t="s">
        <v>54</v>
      </c>
      <c r="E78" s="44">
        <v>5000</v>
      </c>
    </row>
    <row r="79" spans="2:5" ht="19.5">
      <c r="B79" s="38" t="s">
        <v>57</v>
      </c>
      <c r="C79" s="21" t="s">
        <v>65</v>
      </c>
      <c r="D79" s="12"/>
      <c r="E79" s="45">
        <v>0</v>
      </c>
    </row>
    <row r="80" spans="2:5" ht="19.5">
      <c r="B80" s="38" t="s">
        <v>58</v>
      </c>
      <c r="C80" s="21" t="s">
        <v>66</v>
      </c>
      <c r="D80" s="10"/>
      <c r="E80" s="45">
        <v>0</v>
      </c>
    </row>
    <row r="81" spans="2:5" ht="19.5">
      <c r="B81" s="1"/>
      <c r="C81" s="36" t="s">
        <v>67</v>
      </c>
      <c r="E81" s="42"/>
    </row>
    <row r="82" spans="2:5">
      <c r="E82" s="42"/>
    </row>
    <row r="84" spans="2:5" ht="18" thickBot="1">
      <c r="B84" s="13" t="s">
        <v>19</v>
      </c>
      <c r="C84" s="43" t="s">
        <v>68</v>
      </c>
      <c r="E84" s="46">
        <v>334648</v>
      </c>
    </row>
    <row r="85" spans="2:5" ht="15" thickTop="1"/>
    <row r="86" spans="2:5" ht="15">
      <c r="B86" s="13" t="s">
        <v>91</v>
      </c>
      <c r="C86" s="13" t="s">
        <v>92</v>
      </c>
    </row>
    <row r="87" spans="2:5" ht="19.5">
      <c r="C87" s="36" t="s">
        <v>112</v>
      </c>
      <c r="D87" s="30">
        <v>180000</v>
      </c>
    </row>
    <row r="88" spans="2:5" ht="19.5">
      <c r="C88" s="36" t="s">
        <v>93</v>
      </c>
      <c r="D88" s="30"/>
    </row>
    <row r="89" spans="2:5" ht="19.5">
      <c r="C89" s="57" t="s">
        <v>113</v>
      </c>
      <c r="D89" s="58"/>
    </row>
    <row r="90" spans="2:5" ht="17.25">
      <c r="C90" t="s">
        <v>145</v>
      </c>
      <c r="D90" s="44">
        <f>25000+40000</f>
        <v>65000</v>
      </c>
    </row>
    <row r="91" spans="2:5">
      <c r="E91" s="53"/>
    </row>
    <row r="92" spans="2:5" ht="15" thickBot="1">
      <c r="E92" s="52">
        <f>SUM(D87:D90)</f>
        <v>245000</v>
      </c>
    </row>
    <row r="93" spans="2:5" ht="15" thickTop="1"/>
    <row r="95" spans="2:5" ht="18" thickBot="1">
      <c r="B95" t="s">
        <v>95</v>
      </c>
      <c r="C95" s="3" t="s">
        <v>96</v>
      </c>
      <c r="D95" t="s">
        <v>54</v>
      </c>
      <c r="E95" s="56">
        <f>E84-E92</f>
        <v>89648</v>
      </c>
    </row>
    <row r="96" spans="2:5" ht="15" thickTop="1"/>
  </sheetData>
  <mergeCells count="5">
    <mergeCell ref="B5:E5"/>
    <mergeCell ref="B6:E6"/>
    <mergeCell ref="B7:E7"/>
    <mergeCell ref="B35:D35"/>
    <mergeCell ref="B67:D67"/>
  </mergeCells>
  <pageMargins left="0.7" right="0.7" top="0.75" bottom="0.75" header="0.3" footer="0.3"/>
  <pageSetup scale="86" orientation="portrait" r:id="rId1"/>
  <rowBreaks count="1" manualBreakCount="1">
    <brk id="5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D8B76-AE2E-404B-A396-2A3129539617}">
  <sheetPr>
    <tabColor rgb="FFFF0000"/>
  </sheetPr>
  <dimension ref="B2:G96"/>
  <sheetViews>
    <sheetView view="pageBreakPreview" zoomScale="60" zoomScaleNormal="100" workbookViewId="0">
      <selection activeCell="G22" sqref="G22"/>
    </sheetView>
  </sheetViews>
  <sheetFormatPr defaultRowHeight="14.25"/>
  <cols>
    <col min="1" max="1" width="2" customWidth="1"/>
    <col min="2" max="2" width="10" customWidth="1"/>
    <col min="3" max="3" width="46.875" customWidth="1"/>
    <col min="4" max="4" width="20.75" customWidth="1"/>
    <col min="5" max="5" width="16.25" customWidth="1"/>
  </cols>
  <sheetData>
    <row r="2" spans="2:5" ht="18">
      <c r="B2" s="47" t="s">
        <v>70</v>
      </c>
      <c r="C2" s="48" t="s">
        <v>131</v>
      </c>
    </row>
    <row r="4" spans="2:5" ht="15">
      <c r="B4" s="2"/>
    </row>
    <row r="5" spans="2:5" ht="15" customHeight="1">
      <c r="B5" s="92" t="s">
        <v>132</v>
      </c>
      <c r="C5" s="92"/>
      <c r="D5" s="92"/>
      <c r="E5" s="92"/>
    </row>
    <row r="6" spans="2:5" ht="15" customHeight="1">
      <c r="B6" s="92" t="s">
        <v>0</v>
      </c>
      <c r="C6" s="92"/>
      <c r="D6" s="92"/>
      <c r="E6" s="92"/>
    </row>
    <row r="7" spans="2:5" ht="15" customHeight="1">
      <c r="B7" s="92" t="s">
        <v>99</v>
      </c>
      <c r="C7" s="92"/>
      <c r="D7" s="92"/>
      <c r="E7" s="92"/>
    </row>
    <row r="8" spans="2:5" ht="15">
      <c r="B8" s="6" t="s">
        <v>8</v>
      </c>
      <c r="C8" s="6" t="s">
        <v>1</v>
      </c>
      <c r="D8" s="6" t="s">
        <v>2</v>
      </c>
      <c r="E8" s="6" t="s">
        <v>3</v>
      </c>
    </row>
    <row r="9" spans="2:5">
      <c r="B9" s="4"/>
      <c r="C9" s="4" t="s">
        <v>4</v>
      </c>
      <c r="D9" s="7">
        <v>40000</v>
      </c>
      <c r="E9" s="7">
        <f>D9*12</f>
        <v>480000</v>
      </c>
    </row>
    <row r="10" spans="2:5">
      <c r="B10" s="4"/>
      <c r="C10" s="4" t="s">
        <v>5</v>
      </c>
      <c r="D10" s="7"/>
      <c r="E10" s="7">
        <f>D10*12</f>
        <v>0</v>
      </c>
    </row>
    <row r="11" spans="2:5">
      <c r="B11" s="4"/>
      <c r="C11" s="4" t="s">
        <v>135</v>
      </c>
      <c r="D11" s="7">
        <f>40000*10%</f>
        <v>4000</v>
      </c>
      <c r="E11" s="7">
        <f>D11*12</f>
        <v>48000</v>
      </c>
    </row>
    <row r="12" spans="2:5">
      <c r="B12" s="4"/>
      <c r="C12" s="4" t="s">
        <v>136</v>
      </c>
      <c r="D12" s="7">
        <f>40000*5%</f>
        <v>2000</v>
      </c>
      <c r="E12" s="7">
        <f t="shared" ref="E12" si="0">D12*12</f>
        <v>24000</v>
      </c>
    </row>
    <row r="13" spans="2:5">
      <c r="B13" s="4"/>
      <c r="C13" s="4" t="s">
        <v>75</v>
      </c>
      <c r="D13" s="7">
        <v>10000</v>
      </c>
      <c r="E13" s="7"/>
    </row>
    <row r="14" spans="2:5">
      <c r="B14" s="4"/>
      <c r="C14" s="4" t="s">
        <v>76</v>
      </c>
      <c r="D14" s="7">
        <v>3000</v>
      </c>
      <c r="E14" s="7"/>
    </row>
    <row r="15" spans="2:5">
      <c r="B15" s="4"/>
      <c r="C15" s="4" t="s">
        <v>73</v>
      </c>
      <c r="D15" s="7"/>
      <c r="E15" s="7"/>
    </row>
    <row r="16" spans="2:5">
      <c r="B16" s="4"/>
      <c r="C16" s="4" t="s">
        <v>77</v>
      </c>
      <c r="D16" s="7" t="s">
        <v>105</v>
      </c>
      <c r="E16" s="7"/>
    </row>
    <row r="17" spans="2:5">
      <c r="B17" s="4"/>
      <c r="C17" s="4" t="s">
        <v>103</v>
      </c>
      <c r="D17" s="7"/>
      <c r="E17" s="7"/>
    </row>
    <row r="18" spans="2:5">
      <c r="B18" s="4"/>
      <c r="C18" s="54" t="s">
        <v>108</v>
      </c>
      <c r="D18" s="55"/>
      <c r="E18" s="55"/>
    </row>
    <row r="19" spans="2:5" ht="15">
      <c r="B19" s="4"/>
      <c r="C19" s="6" t="s">
        <v>6</v>
      </c>
      <c r="D19" s="8"/>
      <c r="E19" s="8">
        <f>SUM(E9:E18)</f>
        <v>552000</v>
      </c>
    </row>
    <row r="20" spans="2:5" ht="17.25">
      <c r="B20" s="4"/>
      <c r="C20" s="6" t="s">
        <v>11</v>
      </c>
      <c r="D20" s="8"/>
      <c r="E20" s="8">
        <v>450000</v>
      </c>
    </row>
    <row r="21" spans="2:5" ht="15.75" thickBot="1">
      <c r="B21" s="6" t="s">
        <v>17</v>
      </c>
      <c r="C21" s="6" t="s">
        <v>7</v>
      </c>
      <c r="D21" s="8"/>
      <c r="E21" s="19">
        <f>E19-E20</f>
        <v>102000</v>
      </c>
    </row>
    <row r="22" spans="2:5" ht="20.25" thickTop="1">
      <c r="B22" s="5"/>
      <c r="C22" s="4"/>
      <c r="D22" s="7"/>
      <c r="E22" s="18"/>
    </row>
    <row r="24" spans="2:5" ht="17.25">
      <c r="B24" s="13" t="s">
        <v>18</v>
      </c>
      <c r="C24" s="3" t="s">
        <v>20</v>
      </c>
    </row>
    <row r="25" spans="2:5" ht="15" thickBot="1">
      <c r="B25" s="11"/>
      <c r="C25" t="s">
        <v>22</v>
      </c>
      <c r="D25" s="12"/>
      <c r="E25" s="49"/>
    </row>
    <row r="26" spans="2:5" ht="15" thickTop="1">
      <c r="E26" s="12"/>
    </row>
    <row r="27" spans="2:5" ht="17.25">
      <c r="B27" s="13" t="s">
        <v>59</v>
      </c>
      <c r="C27" s="3" t="s">
        <v>78</v>
      </c>
      <c r="E27" s="14"/>
    </row>
    <row r="28" spans="2:5" ht="15">
      <c r="B28" s="13"/>
      <c r="C28" t="s">
        <v>79</v>
      </c>
      <c r="D28" t="s">
        <v>106</v>
      </c>
      <c r="E28" s="14">
        <f>50000*100/90</f>
        <v>55555.555555555555</v>
      </c>
    </row>
    <row r="29" spans="2:5" ht="15">
      <c r="B29" s="13"/>
      <c r="C29" t="s">
        <v>81</v>
      </c>
      <c r="D29" t="s">
        <v>109</v>
      </c>
      <c r="E29" s="14">
        <f>95000/90*100</f>
        <v>105555.55555555556</v>
      </c>
    </row>
    <row r="30" spans="2:5">
      <c r="E30" s="14"/>
    </row>
    <row r="31" spans="2:5">
      <c r="E31" s="14"/>
    </row>
    <row r="32" spans="2:5" ht="20.25" thickBot="1">
      <c r="B32" s="13"/>
      <c r="C32" s="16" t="s">
        <v>83</v>
      </c>
      <c r="E32" s="50">
        <f>E29+E30+E28</f>
        <v>161111.11111111112</v>
      </c>
    </row>
    <row r="33" spans="2:5" ht="15" thickTop="1">
      <c r="E33" s="14"/>
    </row>
    <row r="34" spans="2:5">
      <c r="E34" s="14"/>
    </row>
    <row r="35" spans="2:5" ht="19.5" customHeight="1">
      <c r="B35" s="94" t="s">
        <v>32</v>
      </c>
      <c r="C35" s="94"/>
      <c r="D35" s="94"/>
    </row>
    <row r="36" spans="2:5" ht="15" customHeight="1">
      <c r="B36" s="20"/>
      <c r="C36" s="21"/>
      <c r="D36" s="20"/>
      <c r="E36" s="20" t="s">
        <v>16</v>
      </c>
    </row>
    <row r="37" spans="2:5" ht="15" customHeight="1">
      <c r="B37">
        <v>1</v>
      </c>
      <c r="C37" s="59" t="s">
        <v>114</v>
      </c>
      <c r="D37" s="60"/>
      <c r="E37" s="60">
        <v>500000</v>
      </c>
    </row>
    <row r="38" spans="2:5">
      <c r="B38">
        <v>2</v>
      </c>
      <c r="C38" t="s">
        <v>85</v>
      </c>
      <c r="D38" s="12"/>
      <c r="E38" s="12">
        <v>120000</v>
      </c>
    </row>
    <row r="39" spans="2:5">
      <c r="B39">
        <v>3</v>
      </c>
      <c r="C39" t="s">
        <v>86</v>
      </c>
      <c r="D39" s="12"/>
      <c r="E39" s="12">
        <f>D9*10%*12*2</f>
        <v>96000</v>
      </c>
    </row>
    <row r="40" spans="2:5">
      <c r="B40">
        <v>4</v>
      </c>
      <c r="C40" t="s">
        <v>87</v>
      </c>
      <c r="D40" s="12" t="s">
        <v>107</v>
      </c>
      <c r="E40" s="12">
        <f>450000*10%</f>
        <v>45000</v>
      </c>
    </row>
    <row r="41" spans="2:5">
      <c r="B41">
        <v>5</v>
      </c>
      <c r="C41" t="s">
        <v>87</v>
      </c>
      <c r="D41" s="12" t="s">
        <v>111</v>
      </c>
      <c r="E41" s="12">
        <f>750000*10%</f>
        <v>75000</v>
      </c>
    </row>
    <row r="42" spans="2:5">
      <c r="B42">
        <v>6</v>
      </c>
      <c r="C42" s="59"/>
      <c r="D42" s="59"/>
      <c r="E42" s="60"/>
    </row>
    <row r="43" spans="2:5">
      <c r="B43">
        <v>7</v>
      </c>
      <c r="C43" t="s">
        <v>110</v>
      </c>
      <c r="E43" s="12">
        <v>50000</v>
      </c>
    </row>
    <row r="44" spans="2:5">
      <c r="E44" s="12"/>
    </row>
    <row r="45" spans="2:5" ht="15" thickBot="1">
      <c r="E45" s="50">
        <f>SUM(E37:E44)</f>
        <v>886000</v>
      </c>
    </row>
    <row r="46" spans="2:5" ht="15" thickTop="1"/>
    <row r="48" spans="2:5" ht="15">
      <c r="C48" s="22" t="s">
        <v>33</v>
      </c>
    </row>
    <row r="49" spans="2:7" ht="15">
      <c r="C49" s="22" t="s">
        <v>133</v>
      </c>
    </row>
    <row r="50" spans="2:7" ht="15">
      <c r="C50" s="22" t="s">
        <v>134</v>
      </c>
    </row>
    <row r="52" spans="2:7" ht="15.75" thickBot="1">
      <c r="B52" s="13" t="s">
        <v>36</v>
      </c>
      <c r="C52" s="23" t="s">
        <v>37</v>
      </c>
      <c r="E52" s="24">
        <f>E21+E25+E32</f>
        <v>263111.11111111112</v>
      </c>
    </row>
    <row r="53" spans="2:7" ht="15.75" thickTop="1">
      <c r="B53" s="13"/>
    </row>
    <row r="54" spans="2:7" ht="15">
      <c r="B54" s="13" t="s">
        <v>18</v>
      </c>
    </row>
    <row r="55" spans="2:7" ht="19.5">
      <c r="C55" s="25" t="s">
        <v>38</v>
      </c>
      <c r="D55" s="26" t="s">
        <v>39</v>
      </c>
      <c r="E55" s="26" t="s">
        <v>40</v>
      </c>
      <c r="F55" s="1"/>
      <c r="G55" s="26"/>
    </row>
    <row r="56" spans="2:7" ht="19.5">
      <c r="C56" s="25"/>
      <c r="D56" s="26" t="s">
        <v>54</v>
      </c>
      <c r="E56" s="26" t="s">
        <v>55</v>
      </c>
      <c r="F56" s="1"/>
      <c r="G56" s="26"/>
    </row>
    <row r="57" spans="2:7" ht="17.25">
      <c r="C57" s="27" t="s">
        <v>43</v>
      </c>
      <c r="D57" s="29">
        <v>350000</v>
      </c>
      <c r="E57" s="28" t="s">
        <v>42</v>
      </c>
      <c r="F57" s="33"/>
      <c r="G57" s="28"/>
    </row>
    <row r="58" spans="2:7" ht="17.25">
      <c r="C58" s="27" t="s">
        <v>44</v>
      </c>
      <c r="D58" s="29">
        <v>100000</v>
      </c>
      <c r="E58" s="30">
        <f>D58*5%</f>
        <v>5000</v>
      </c>
      <c r="F58" s="33"/>
      <c r="G58" s="30"/>
    </row>
    <row r="59" spans="2:7" ht="17.25">
      <c r="C59" s="27" t="s">
        <v>45</v>
      </c>
      <c r="D59" s="29">
        <v>400000</v>
      </c>
      <c r="E59" s="30">
        <f>D59*10%</f>
        <v>40000</v>
      </c>
      <c r="F59" s="33"/>
      <c r="G59" s="30"/>
    </row>
    <row r="60" spans="2:7" ht="17.25">
      <c r="C60" s="27" t="s">
        <v>46</v>
      </c>
      <c r="D60" s="29">
        <v>500000</v>
      </c>
      <c r="E60" s="30">
        <f>D60*15%</f>
        <v>75000</v>
      </c>
      <c r="F60" s="33"/>
      <c r="G60" s="30"/>
    </row>
    <row r="61" spans="2:7" ht="17.25">
      <c r="C61" s="27" t="s">
        <v>47</v>
      </c>
      <c r="D61" s="29">
        <v>500000</v>
      </c>
      <c r="E61" s="30">
        <f>D61*20%</f>
        <v>100000</v>
      </c>
      <c r="F61" s="33"/>
      <c r="G61" s="30"/>
    </row>
    <row r="62" spans="2:7" ht="18" thickBot="1">
      <c r="C62" s="27" t="s">
        <v>48</v>
      </c>
      <c r="D62" s="29">
        <v>897111</v>
      </c>
      <c r="E62" s="30">
        <f>D62*25%</f>
        <v>224277.75</v>
      </c>
      <c r="F62" s="33"/>
      <c r="G62" s="1"/>
    </row>
    <row r="63" spans="2:7" ht="18" thickBot="1">
      <c r="C63" s="31"/>
      <c r="D63" s="35">
        <f>SUM(D57:D62)</f>
        <v>2747111</v>
      </c>
      <c r="E63" s="35">
        <f>SUM(E57:E62)</f>
        <v>444277.75</v>
      </c>
      <c r="F63" s="1"/>
      <c r="G63" s="34"/>
    </row>
    <row r="64" spans="2:7" ht="15" thickTop="1"/>
    <row r="67" spans="2:5" s="9" customFormat="1" ht="15.75" customHeight="1">
      <c r="B67" s="93"/>
      <c r="C67" s="93"/>
      <c r="D67" s="93"/>
    </row>
    <row r="68" spans="2:5" ht="19.5">
      <c r="B68" s="39" t="s">
        <v>59</v>
      </c>
      <c r="C68" s="25" t="s">
        <v>49</v>
      </c>
      <c r="D68" s="1"/>
    </row>
    <row r="69" spans="2:5" ht="19.5">
      <c r="B69" s="38" t="s">
        <v>56</v>
      </c>
      <c r="C69" s="36" t="s">
        <v>50</v>
      </c>
      <c r="D69" s="28" t="s">
        <v>41</v>
      </c>
      <c r="E69" s="30">
        <f>E52*3%</f>
        <v>7893.333333333333</v>
      </c>
    </row>
    <row r="70" spans="2:5" ht="19.5">
      <c r="B70" s="38" t="s">
        <v>57</v>
      </c>
      <c r="C70" s="36" t="s">
        <v>51</v>
      </c>
      <c r="D70" s="28" t="s">
        <v>41</v>
      </c>
      <c r="E70" s="30">
        <f>E45*15%</f>
        <v>132900</v>
      </c>
    </row>
    <row r="71" spans="2:5" ht="19.5">
      <c r="B71" s="38" t="s">
        <v>58</v>
      </c>
      <c r="C71" s="36" t="s">
        <v>52</v>
      </c>
      <c r="D71" s="28" t="s">
        <v>41</v>
      </c>
      <c r="E71" s="30">
        <v>1000000</v>
      </c>
    </row>
    <row r="72" spans="2:5" ht="19.5">
      <c r="C72" s="36" t="s">
        <v>53</v>
      </c>
      <c r="D72" s="32" t="s">
        <v>54</v>
      </c>
      <c r="E72" s="37">
        <v>82413.333333333328</v>
      </c>
    </row>
    <row r="73" spans="2:5">
      <c r="D73" s="12"/>
    </row>
    <row r="74" spans="2:5">
      <c r="D74" s="12"/>
    </row>
    <row r="75" spans="2:5" ht="17.25">
      <c r="B75" s="40" t="s">
        <v>60</v>
      </c>
      <c r="C75" s="41" t="s">
        <v>61</v>
      </c>
      <c r="D75" s="12"/>
      <c r="E75" s="37">
        <f>E63-E72</f>
        <v>361864.41666666669</v>
      </c>
    </row>
    <row r="76" spans="2:5" ht="15">
      <c r="B76" s="1"/>
      <c r="C76" s="1"/>
      <c r="D76" s="12"/>
    </row>
    <row r="77" spans="2:5" ht="17.25">
      <c r="B77" s="40" t="s">
        <v>62</v>
      </c>
      <c r="C77" s="41" t="s">
        <v>63</v>
      </c>
      <c r="D77" s="12"/>
    </row>
    <row r="78" spans="2:5" ht="19.5">
      <c r="B78" s="38" t="s">
        <v>56</v>
      </c>
      <c r="C78" s="21" t="s">
        <v>64</v>
      </c>
      <c r="D78" s="12" t="s">
        <v>54</v>
      </c>
      <c r="E78" s="44">
        <v>5000</v>
      </c>
    </row>
    <row r="79" spans="2:5" ht="19.5">
      <c r="B79" s="38" t="s">
        <v>57</v>
      </c>
      <c r="C79" s="21" t="s">
        <v>65</v>
      </c>
      <c r="D79" s="12"/>
      <c r="E79" s="45">
        <v>0</v>
      </c>
    </row>
    <row r="80" spans="2:5" ht="19.5">
      <c r="B80" s="38" t="s">
        <v>58</v>
      </c>
      <c r="C80" s="21" t="s">
        <v>66</v>
      </c>
      <c r="D80" s="10"/>
      <c r="E80" s="45">
        <v>0</v>
      </c>
    </row>
    <row r="81" spans="2:5" ht="19.5">
      <c r="B81" s="1"/>
      <c r="C81" s="36" t="s">
        <v>67</v>
      </c>
      <c r="E81" s="42"/>
    </row>
    <row r="82" spans="2:5">
      <c r="E82" s="42"/>
    </row>
    <row r="84" spans="2:5" ht="18" thickBot="1">
      <c r="B84" s="13" t="s">
        <v>19</v>
      </c>
      <c r="C84" s="43" t="s">
        <v>68</v>
      </c>
      <c r="E84" s="46">
        <v>361864.42</v>
      </c>
    </row>
    <row r="85" spans="2:5" ht="15" thickTop="1"/>
    <row r="86" spans="2:5" ht="15">
      <c r="B86" s="13" t="s">
        <v>91</v>
      </c>
      <c r="C86" s="13" t="s">
        <v>92</v>
      </c>
    </row>
    <row r="87" spans="2:5" ht="19.5">
      <c r="C87" s="36" t="s">
        <v>112</v>
      </c>
      <c r="D87" s="30">
        <v>500000</v>
      </c>
    </row>
    <row r="88" spans="2:5" ht="19.5">
      <c r="C88" s="36" t="s">
        <v>93</v>
      </c>
      <c r="D88" s="30">
        <v>5556</v>
      </c>
    </row>
    <row r="89" spans="2:5" ht="19.5">
      <c r="C89" s="57" t="s">
        <v>113</v>
      </c>
      <c r="D89" s="58">
        <v>96000</v>
      </c>
    </row>
    <row r="90" spans="2:5" ht="17.25">
      <c r="C90" t="s">
        <v>94</v>
      </c>
      <c r="D90" s="44">
        <v>10556</v>
      </c>
    </row>
    <row r="91" spans="2:5">
      <c r="E91" s="53"/>
    </row>
    <row r="92" spans="2:5" ht="15" thickBot="1">
      <c r="E92" s="52">
        <f>SUM(D87:D90)</f>
        <v>612112</v>
      </c>
    </row>
    <row r="93" spans="2:5" ht="15" thickTop="1"/>
    <row r="95" spans="2:5" ht="18" thickBot="1">
      <c r="B95" t="s">
        <v>95</v>
      </c>
      <c r="C95" s="3" t="s">
        <v>96</v>
      </c>
      <c r="D95" t="s">
        <v>54</v>
      </c>
      <c r="E95" s="56">
        <f>E84-E92</f>
        <v>-250247.58000000002</v>
      </c>
    </row>
    <row r="96" spans="2:5" ht="15" thickTop="1"/>
  </sheetData>
  <mergeCells count="5">
    <mergeCell ref="B5:E5"/>
    <mergeCell ref="B6:E6"/>
    <mergeCell ref="B7:E7"/>
    <mergeCell ref="B35:D35"/>
    <mergeCell ref="B67:D67"/>
  </mergeCells>
  <pageMargins left="0.7" right="0.7" top="0.75" bottom="0.75" header="0.3" footer="0.3"/>
  <pageSetup scale="86" orientation="portrait" r:id="rId1"/>
  <rowBreaks count="1" manualBreakCount="1">
    <brk id="53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AC80D-E776-419F-8A87-EABFAF1C5E4D}">
  <sheetPr>
    <tabColor rgb="FFFF0000"/>
  </sheetPr>
  <dimension ref="B2:G100"/>
  <sheetViews>
    <sheetView view="pageBreakPreview" zoomScale="60" zoomScaleNormal="100" workbookViewId="0">
      <selection activeCell="G47" sqref="G47"/>
    </sheetView>
  </sheetViews>
  <sheetFormatPr defaultRowHeight="14.25"/>
  <cols>
    <col min="1" max="1" width="2" customWidth="1"/>
    <col min="2" max="2" width="10" customWidth="1"/>
    <col min="3" max="3" width="46.875" customWidth="1"/>
    <col min="4" max="4" width="20.75" customWidth="1"/>
    <col min="5" max="5" width="16.25" customWidth="1"/>
  </cols>
  <sheetData>
    <row r="2" spans="2:5" ht="18">
      <c r="B2" s="47" t="s">
        <v>70</v>
      </c>
      <c r="C2" s="48" t="s">
        <v>164</v>
      </c>
    </row>
    <row r="4" spans="2:5" ht="15">
      <c r="B4" s="2"/>
    </row>
    <row r="5" spans="2:5" ht="15" customHeight="1">
      <c r="B5" s="92" t="s">
        <v>165</v>
      </c>
      <c r="C5" s="92"/>
      <c r="D5" s="92"/>
      <c r="E5" s="92"/>
    </row>
    <row r="6" spans="2:5" ht="15" customHeight="1">
      <c r="B6" s="92" t="s">
        <v>0</v>
      </c>
      <c r="C6" s="92"/>
      <c r="D6" s="92"/>
      <c r="E6" s="92"/>
    </row>
    <row r="7" spans="2:5" ht="15" customHeight="1">
      <c r="B7" s="92" t="s">
        <v>166</v>
      </c>
      <c r="C7" s="92"/>
      <c r="D7" s="92"/>
      <c r="E7" s="92"/>
    </row>
    <row r="8" spans="2:5" ht="15">
      <c r="B8" s="6" t="s">
        <v>8</v>
      </c>
      <c r="C8" s="6" t="s">
        <v>1</v>
      </c>
      <c r="D8" s="6" t="s">
        <v>2</v>
      </c>
      <c r="E8" s="6" t="s">
        <v>3</v>
      </c>
    </row>
    <row r="9" spans="2:5">
      <c r="B9" s="4"/>
      <c r="C9" s="4" t="s">
        <v>4</v>
      </c>
      <c r="D9" s="7">
        <v>80000</v>
      </c>
      <c r="E9" s="7">
        <f>D9*12</f>
        <v>960000</v>
      </c>
    </row>
    <row r="10" spans="2:5">
      <c r="B10" s="4"/>
      <c r="C10" s="4" t="s">
        <v>5</v>
      </c>
      <c r="D10" s="7"/>
      <c r="E10" s="7">
        <f>D10*12</f>
        <v>0</v>
      </c>
    </row>
    <row r="11" spans="2:5">
      <c r="B11" s="4"/>
      <c r="C11" s="4" t="s">
        <v>12</v>
      </c>
      <c r="D11" s="7">
        <v>1500</v>
      </c>
      <c r="E11" s="7"/>
    </row>
    <row r="12" spans="2:5">
      <c r="B12" s="4"/>
      <c r="C12" s="4" t="s">
        <v>169</v>
      </c>
      <c r="D12" s="7" t="s">
        <v>170</v>
      </c>
      <c r="E12" s="7"/>
    </row>
    <row r="13" spans="2:5">
      <c r="B13" s="4"/>
      <c r="C13" s="54" t="s">
        <v>75</v>
      </c>
      <c r="D13" s="55">
        <v>10000</v>
      </c>
      <c r="E13" s="55"/>
    </row>
    <row r="14" spans="2:5">
      <c r="B14" s="4"/>
      <c r="C14" s="4" t="s">
        <v>172</v>
      </c>
      <c r="D14" s="7">
        <v>1000</v>
      </c>
      <c r="E14" s="7"/>
    </row>
    <row r="15" spans="2:5">
      <c r="B15" s="4"/>
      <c r="C15" s="4" t="s">
        <v>152</v>
      </c>
      <c r="D15" s="7"/>
      <c r="E15" s="7">
        <f>D9*1*2</f>
        <v>160000</v>
      </c>
    </row>
    <row r="16" spans="2:5">
      <c r="B16" s="4"/>
      <c r="C16" s="54"/>
      <c r="D16" s="55"/>
      <c r="E16" s="55"/>
    </row>
    <row r="17" spans="2:5">
      <c r="B17" s="4"/>
      <c r="C17" s="54"/>
      <c r="D17" s="55"/>
      <c r="E17" s="55"/>
    </row>
    <row r="18" spans="2:5">
      <c r="B18" s="4"/>
      <c r="C18" s="80"/>
      <c r="D18" s="81"/>
      <c r="E18" s="81"/>
    </row>
    <row r="19" spans="2:5" ht="15">
      <c r="B19" s="4"/>
      <c r="C19" s="6" t="s">
        <v>6</v>
      </c>
      <c r="D19" s="8"/>
      <c r="E19" s="8">
        <f>SUM(E9:E18)</f>
        <v>1120000</v>
      </c>
    </row>
    <row r="20" spans="2:5" ht="17.25">
      <c r="B20" s="4"/>
      <c r="C20" s="6" t="s">
        <v>11</v>
      </c>
      <c r="D20" s="8"/>
      <c r="E20" s="8"/>
    </row>
    <row r="21" spans="2:5" ht="15.75" thickBot="1">
      <c r="B21" s="6" t="s">
        <v>17</v>
      </c>
      <c r="C21" s="6" t="s">
        <v>7</v>
      </c>
      <c r="D21" s="8"/>
      <c r="E21" s="19">
        <f>E19-E20</f>
        <v>1120000</v>
      </c>
    </row>
    <row r="22" spans="2:5" ht="20.25" thickTop="1">
      <c r="B22" s="5"/>
      <c r="C22" s="4"/>
      <c r="D22" s="7"/>
      <c r="E22" s="18"/>
    </row>
    <row r="24" spans="2:5" ht="17.25">
      <c r="B24" s="13" t="s">
        <v>18</v>
      </c>
      <c r="C24" s="3" t="s">
        <v>20</v>
      </c>
    </row>
    <row r="25" spans="2:5" ht="15" thickBot="1">
      <c r="B25" s="11"/>
      <c r="C25" t="s">
        <v>22</v>
      </c>
      <c r="D25" s="12"/>
      <c r="E25" s="49"/>
    </row>
    <row r="26" spans="2:5" ht="15" thickTop="1">
      <c r="E26" s="12"/>
    </row>
    <row r="27" spans="2:5" ht="17.25">
      <c r="B27" s="13" t="s">
        <v>59</v>
      </c>
      <c r="C27" s="3" t="s">
        <v>78</v>
      </c>
      <c r="E27" s="14"/>
    </row>
    <row r="28" spans="2:5" ht="15">
      <c r="B28" s="13"/>
      <c r="C28" t="s">
        <v>79</v>
      </c>
      <c r="E28" s="14">
        <v>57000</v>
      </c>
    </row>
    <row r="29" spans="2:5" ht="15">
      <c r="B29" s="13"/>
      <c r="C29" t="s">
        <v>81</v>
      </c>
      <c r="D29" t="s">
        <v>174</v>
      </c>
      <c r="E29" s="14">
        <f>84000/90*100</f>
        <v>93333.333333333343</v>
      </c>
    </row>
    <row r="30" spans="2:5">
      <c r="E30" s="14"/>
    </row>
    <row r="31" spans="2:5">
      <c r="E31" s="14"/>
    </row>
    <row r="32" spans="2:5" ht="20.25" thickBot="1">
      <c r="B32" s="13"/>
      <c r="C32" s="16" t="s">
        <v>83</v>
      </c>
      <c r="E32" s="50">
        <f>E29+E30+E28</f>
        <v>150333.33333333334</v>
      </c>
    </row>
    <row r="33" spans="2:5" ht="20.25" thickTop="1">
      <c r="B33" s="13" t="s">
        <v>60</v>
      </c>
      <c r="C33" s="16" t="s">
        <v>183</v>
      </c>
      <c r="E33" s="14"/>
    </row>
    <row r="34" spans="2:5" ht="15.75" thickBot="1">
      <c r="B34" s="13"/>
      <c r="C34" t="s">
        <v>173</v>
      </c>
      <c r="E34" s="17">
        <v>120000</v>
      </c>
    </row>
    <row r="35" spans="2:5" ht="20.25" thickTop="1">
      <c r="B35" s="13"/>
      <c r="C35" s="16"/>
      <c r="E35" s="14"/>
    </row>
    <row r="36" spans="2:5" ht="19.5">
      <c r="B36" s="13"/>
      <c r="C36" s="16"/>
      <c r="E36" s="14"/>
    </row>
    <row r="37" spans="2:5">
      <c r="E37" s="14"/>
    </row>
    <row r="38" spans="2:5">
      <c r="E38" s="14"/>
    </row>
    <row r="39" spans="2:5" ht="19.5" customHeight="1">
      <c r="B39" s="94" t="s">
        <v>32</v>
      </c>
      <c r="C39" s="94"/>
      <c r="D39" s="94"/>
    </row>
    <row r="40" spans="2:5" ht="15" customHeight="1">
      <c r="B40" s="20"/>
      <c r="C40" s="21"/>
      <c r="D40" s="20"/>
      <c r="E40" s="20" t="s">
        <v>16</v>
      </c>
    </row>
    <row r="41" spans="2:5" ht="15" customHeight="1">
      <c r="B41">
        <v>1</v>
      </c>
      <c r="C41" s="59" t="s">
        <v>114</v>
      </c>
      <c r="D41" s="60"/>
      <c r="E41" s="60">
        <v>325000</v>
      </c>
    </row>
    <row r="42" spans="2:5">
      <c r="B42">
        <v>2</v>
      </c>
      <c r="C42" t="s">
        <v>85</v>
      </c>
      <c r="D42" s="12"/>
      <c r="E42" s="12">
        <v>120000</v>
      </c>
    </row>
    <row r="43" spans="2:5">
      <c r="B43">
        <v>3</v>
      </c>
      <c r="C43" s="59" t="s">
        <v>171</v>
      </c>
      <c r="D43" s="60"/>
      <c r="E43" s="60">
        <f>D9*10%*12*2</f>
        <v>192000</v>
      </c>
    </row>
    <row r="44" spans="2:5">
      <c r="B44">
        <v>4</v>
      </c>
      <c r="C44" t="s">
        <v>87</v>
      </c>
      <c r="D44" s="12" t="s">
        <v>107</v>
      </c>
      <c r="E44" s="12"/>
    </row>
    <row r="45" spans="2:5">
      <c r="B45">
        <v>5</v>
      </c>
      <c r="C45" t="s">
        <v>87</v>
      </c>
      <c r="D45" s="12" t="s">
        <v>111</v>
      </c>
      <c r="E45" s="12"/>
    </row>
    <row r="46" spans="2:5">
      <c r="B46">
        <v>6</v>
      </c>
      <c r="C46" s="59"/>
      <c r="D46" s="59"/>
      <c r="E46" s="60"/>
    </row>
    <row r="47" spans="2:5">
      <c r="B47">
        <v>7</v>
      </c>
      <c r="C47" t="s">
        <v>110</v>
      </c>
      <c r="E47" s="12">
        <v>60000</v>
      </c>
    </row>
    <row r="48" spans="2:5">
      <c r="E48" s="12"/>
    </row>
    <row r="49" spans="2:7" ht="15" thickBot="1">
      <c r="E49" s="50">
        <f>SUM(E41:E48)</f>
        <v>697000</v>
      </c>
    </row>
    <row r="50" spans="2:7" ht="15" thickTop="1"/>
    <row r="52" spans="2:7" ht="15">
      <c r="C52" s="22" t="s">
        <v>33</v>
      </c>
    </row>
    <row r="53" spans="2:7" ht="15">
      <c r="C53" s="22" t="s">
        <v>167</v>
      </c>
    </row>
    <row r="54" spans="2:7" ht="15">
      <c r="C54" s="22" t="s">
        <v>168</v>
      </c>
    </row>
    <row r="56" spans="2:7" ht="15.75" thickBot="1">
      <c r="B56" s="13" t="s">
        <v>36</v>
      </c>
      <c r="C56" s="23" t="s">
        <v>37</v>
      </c>
      <c r="E56" s="24">
        <f>E21+E25+E32+E34</f>
        <v>1390333.3333333333</v>
      </c>
    </row>
    <row r="57" spans="2:7" ht="15.75" thickTop="1">
      <c r="B57" s="13"/>
    </row>
    <row r="58" spans="2:7" ht="15">
      <c r="B58" s="13" t="s">
        <v>18</v>
      </c>
    </row>
    <row r="59" spans="2:7" ht="19.5">
      <c r="C59" s="25" t="s">
        <v>38</v>
      </c>
      <c r="D59" s="26" t="s">
        <v>39</v>
      </c>
      <c r="E59" s="26" t="s">
        <v>40</v>
      </c>
      <c r="F59" s="1"/>
      <c r="G59" s="26"/>
    </row>
    <row r="60" spans="2:7" ht="19.5">
      <c r="C60" s="25"/>
      <c r="D60" s="26" t="s">
        <v>54</v>
      </c>
      <c r="E60" s="26" t="s">
        <v>55</v>
      </c>
      <c r="F60" s="1"/>
      <c r="G60" s="26"/>
    </row>
    <row r="61" spans="2:7" ht="17.25">
      <c r="C61" s="27" t="s">
        <v>43</v>
      </c>
      <c r="D61" s="29">
        <v>350000</v>
      </c>
      <c r="E61" s="28" t="s">
        <v>42</v>
      </c>
      <c r="F61" s="33"/>
      <c r="G61" s="28"/>
    </row>
    <row r="62" spans="2:7" ht="17.25">
      <c r="C62" s="27" t="s">
        <v>44</v>
      </c>
      <c r="D62" s="29">
        <v>100000</v>
      </c>
      <c r="E62" s="30">
        <f>D62*5%</f>
        <v>5000</v>
      </c>
      <c r="F62" s="33"/>
      <c r="G62" s="30"/>
    </row>
    <row r="63" spans="2:7" ht="17.25">
      <c r="C63" s="27" t="s">
        <v>45</v>
      </c>
      <c r="D63" s="29">
        <v>400000</v>
      </c>
      <c r="E63" s="30">
        <f>D63*10%</f>
        <v>40000</v>
      </c>
      <c r="F63" s="33"/>
      <c r="G63" s="30"/>
    </row>
    <row r="64" spans="2:7" ht="17.25">
      <c r="C64" s="27" t="s">
        <v>46</v>
      </c>
      <c r="D64" s="29">
        <v>500000</v>
      </c>
      <c r="E64" s="30">
        <f>D64*15%</f>
        <v>75000</v>
      </c>
      <c r="F64" s="33"/>
      <c r="G64" s="30"/>
    </row>
    <row r="65" spans="2:7" ht="17.25">
      <c r="C65" s="27" t="s">
        <v>160</v>
      </c>
      <c r="D65" s="29">
        <v>280333</v>
      </c>
      <c r="E65" s="30">
        <f>D65*20%</f>
        <v>56066.600000000006</v>
      </c>
      <c r="F65" s="33"/>
      <c r="G65" s="30"/>
    </row>
    <row r="66" spans="2:7" ht="18" thickBot="1">
      <c r="C66" s="27"/>
      <c r="D66" s="78">
        <v>0</v>
      </c>
      <c r="E66" s="79">
        <f>D66*25%</f>
        <v>0</v>
      </c>
      <c r="F66" s="33"/>
      <c r="G66" s="1"/>
    </row>
    <row r="67" spans="2:7" ht="18" thickBot="1">
      <c r="C67" s="31"/>
      <c r="D67" s="35">
        <f>SUM(D61:D66)</f>
        <v>1630333</v>
      </c>
      <c r="E67" s="35">
        <f>SUM(E61:E66)</f>
        <v>176066.6</v>
      </c>
      <c r="F67" s="1"/>
      <c r="G67" s="34"/>
    </row>
    <row r="68" spans="2:7" ht="15" thickTop="1"/>
    <row r="71" spans="2:7" s="9" customFormat="1" ht="15.75" customHeight="1">
      <c r="B71" s="93"/>
      <c r="C71" s="93"/>
      <c r="D71" s="93"/>
    </row>
    <row r="72" spans="2:7" ht="19.5">
      <c r="B72" s="39" t="s">
        <v>59</v>
      </c>
      <c r="C72" s="25" t="s">
        <v>49</v>
      </c>
      <c r="D72" s="1"/>
    </row>
    <row r="73" spans="2:7" ht="19.5">
      <c r="B73" s="38" t="s">
        <v>56</v>
      </c>
      <c r="C73" s="36" t="s">
        <v>50</v>
      </c>
      <c r="D73" s="28" t="s">
        <v>41</v>
      </c>
      <c r="E73" s="30">
        <f>E56*3%</f>
        <v>41709.999999999993</v>
      </c>
    </row>
    <row r="74" spans="2:7" ht="19.5">
      <c r="B74" s="38" t="s">
        <v>57</v>
      </c>
      <c r="C74" s="36" t="s">
        <v>51</v>
      </c>
      <c r="D74" s="28" t="s">
        <v>41</v>
      </c>
      <c r="E74" s="30">
        <f>E49*15%</f>
        <v>104550</v>
      </c>
    </row>
    <row r="75" spans="2:7" ht="19.5">
      <c r="B75" s="38" t="s">
        <v>58</v>
      </c>
      <c r="C75" s="36" t="s">
        <v>52</v>
      </c>
      <c r="D75" s="28" t="s">
        <v>41</v>
      </c>
      <c r="E75" s="30">
        <v>1000000</v>
      </c>
    </row>
    <row r="76" spans="2:7" ht="19.5">
      <c r="C76" s="36" t="s">
        <v>53</v>
      </c>
      <c r="D76" s="32" t="s">
        <v>54</v>
      </c>
      <c r="E76" s="37">
        <v>48909.999999999993</v>
      </c>
    </row>
    <row r="77" spans="2:7">
      <c r="D77" s="12"/>
    </row>
    <row r="78" spans="2:7">
      <c r="D78" s="12"/>
    </row>
    <row r="79" spans="2:7" ht="17.25">
      <c r="B79" s="40" t="s">
        <v>60</v>
      </c>
      <c r="C79" s="41" t="s">
        <v>61</v>
      </c>
      <c r="D79" s="12"/>
      <c r="E79" s="37">
        <f>E67-E76</f>
        <v>127156.6</v>
      </c>
    </row>
    <row r="80" spans="2:7" ht="15">
      <c r="B80" s="1"/>
      <c r="C80" s="1"/>
      <c r="D80" s="12"/>
    </row>
    <row r="81" spans="2:5" ht="17.25">
      <c r="B81" s="40" t="s">
        <v>62</v>
      </c>
      <c r="C81" s="41" t="s">
        <v>63</v>
      </c>
      <c r="D81" s="12"/>
    </row>
    <row r="82" spans="2:5" ht="19.5">
      <c r="B82" s="38" t="s">
        <v>56</v>
      </c>
      <c r="C82" s="21" t="s">
        <v>64</v>
      </c>
      <c r="D82" s="12" t="s">
        <v>54</v>
      </c>
      <c r="E82" s="44">
        <v>5000</v>
      </c>
    </row>
    <row r="83" spans="2:5" ht="19.5">
      <c r="B83" s="38" t="s">
        <v>57</v>
      </c>
      <c r="C83" s="21" t="s">
        <v>65</v>
      </c>
      <c r="D83" s="12"/>
      <c r="E83" s="45">
        <v>0</v>
      </c>
    </row>
    <row r="84" spans="2:5" ht="19.5">
      <c r="B84" s="38" t="s">
        <v>58</v>
      </c>
      <c r="C84" s="21" t="s">
        <v>66</v>
      </c>
      <c r="D84" s="10"/>
      <c r="E84" s="45">
        <v>0</v>
      </c>
    </row>
    <row r="85" spans="2:5" ht="19.5">
      <c r="B85" s="1"/>
      <c r="C85" s="36" t="s">
        <v>67</v>
      </c>
      <c r="E85" s="42"/>
    </row>
    <row r="86" spans="2:5">
      <c r="E86" s="42"/>
    </row>
    <row r="88" spans="2:5" ht="18" thickBot="1">
      <c r="B88" s="13" t="s">
        <v>19</v>
      </c>
      <c r="C88" s="43" t="s">
        <v>68</v>
      </c>
      <c r="E88" s="46">
        <v>127156.6</v>
      </c>
    </row>
    <row r="89" spans="2:5" ht="15" thickTop="1"/>
    <row r="90" spans="2:5" ht="15">
      <c r="B90" s="13" t="s">
        <v>91</v>
      </c>
      <c r="C90" s="13" t="s">
        <v>92</v>
      </c>
    </row>
    <row r="91" spans="2:5" ht="19.5">
      <c r="C91" s="36" t="s">
        <v>112</v>
      </c>
      <c r="D91" s="58">
        <v>36000</v>
      </c>
    </row>
    <row r="92" spans="2:5" ht="19.5">
      <c r="C92" s="36" t="s">
        <v>175</v>
      </c>
      <c r="D92" s="30">
        <f>125000*5%</f>
        <v>6250</v>
      </c>
    </row>
    <row r="93" spans="2:5" ht="19.5">
      <c r="C93" s="57" t="s">
        <v>113</v>
      </c>
      <c r="D93" s="58"/>
    </row>
    <row r="94" spans="2:5" ht="17.25">
      <c r="C94" t="s">
        <v>94</v>
      </c>
      <c r="D94" s="44">
        <v>9333</v>
      </c>
    </row>
    <row r="95" spans="2:5">
      <c r="E95" s="53"/>
    </row>
    <row r="96" spans="2:5" ht="15" thickBot="1">
      <c r="E96" s="52">
        <f>SUM(D91:D94)</f>
        <v>51583</v>
      </c>
    </row>
    <row r="97" spans="2:5" ht="15" thickTop="1"/>
    <row r="99" spans="2:5" ht="18" thickBot="1">
      <c r="B99" t="s">
        <v>95</v>
      </c>
      <c r="C99" s="3" t="s">
        <v>96</v>
      </c>
      <c r="D99" t="s">
        <v>54</v>
      </c>
      <c r="E99" s="56">
        <f>E88-E96</f>
        <v>75573.600000000006</v>
      </c>
    </row>
    <row r="100" spans="2:5" ht="15" thickTop="1"/>
  </sheetData>
  <mergeCells count="5">
    <mergeCell ref="B5:E5"/>
    <mergeCell ref="B6:E6"/>
    <mergeCell ref="B7:E7"/>
    <mergeCell ref="B39:D39"/>
    <mergeCell ref="B71:D71"/>
  </mergeCells>
  <pageMargins left="0.7" right="0.7" top="0.75" bottom="0.75" header="0.3" footer="0.3"/>
  <pageSetup scale="86" orientation="portrait" r:id="rId1"/>
  <rowBreaks count="1" manualBreakCount="1">
    <brk id="51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03D14-A97D-4699-840C-12F676EE41E7}">
  <dimension ref="B2:G92"/>
  <sheetViews>
    <sheetView tabSelected="1" view="pageBreakPreview" zoomScale="60" zoomScaleNormal="100" workbookViewId="0">
      <selection activeCell="E38" sqref="E38"/>
    </sheetView>
  </sheetViews>
  <sheetFormatPr defaultRowHeight="14.25"/>
  <cols>
    <col min="1" max="1" width="2" customWidth="1"/>
    <col min="2" max="2" width="10" customWidth="1"/>
    <col min="3" max="3" width="46.875" customWidth="1"/>
    <col min="4" max="4" width="20.75" customWidth="1"/>
    <col min="5" max="5" width="16.25" customWidth="1"/>
  </cols>
  <sheetData>
    <row r="2" spans="2:5" ht="18">
      <c r="B2" s="47" t="s">
        <v>70</v>
      </c>
      <c r="C2" s="48" t="s">
        <v>148</v>
      </c>
    </row>
    <row r="4" spans="2:5" ht="15">
      <c r="B4" s="2"/>
    </row>
    <row r="5" spans="2:5" ht="15" customHeight="1">
      <c r="B5" s="92" t="s">
        <v>151</v>
      </c>
      <c r="C5" s="92"/>
      <c r="D5" s="92"/>
      <c r="E5" s="92"/>
    </row>
    <row r="6" spans="2:5" ht="15" customHeight="1">
      <c r="B6" s="92" t="s">
        <v>0</v>
      </c>
      <c r="C6" s="92"/>
      <c r="D6" s="92"/>
      <c r="E6" s="92"/>
    </row>
    <row r="7" spans="2:5" ht="15" customHeight="1">
      <c r="B7" s="92" t="s">
        <v>99</v>
      </c>
      <c r="C7" s="92"/>
      <c r="D7" s="92"/>
      <c r="E7" s="92"/>
    </row>
    <row r="8" spans="2:5" ht="15">
      <c r="B8" s="6" t="s">
        <v>8</v>
      </c>
      <c r="C8" s="6" t="s">
        <v>1</v>
      </c>
      <c r="D8" s="6" t="s">
        <v>2</v>
      </c>
      <c r="E8" s="6" t="s">
        <v>3</v>
      </c>
    </row>
    <row r="9" spans="2:5">
      <c r="B9" s="4"/>
      <c r="C9" s="4" t="s">
        <v>4</v>
      </c>
      <c r="D9" s="7">
        <v>60000</v>
      </c>
      <c r="E9" s="7">
        <f>D9*12</f>
        <v>720000</v>
      </c>
    </row>
    <row r="10" spans="2:5">
      <c r="B10" s="4"/>
      <c r="C10" s="4" t="s">
        <v>5</v>
      </c>
      <c r="D10" s="7">
        <v>40000</v>
      </c>
      <c r="E10" s="7">
        <f>D10*12</f>
        <v>480000</v>
      </c>
    </row>
    <row r="11" spans="2:5">
      <c r="B11" s="4"/>
      <c r="C11" s="4" t="s">
        <v>12</v>
      </c>
      <c r="D11" s="7">
        <v>10000</v>
      </c>
      <c r="E11" s="7">
        <f t="shared" ref="E11:E12" si="0">D11*12</f>
        <v>120000</v>
      </c>
    </row>
    <row r="12" spans="2:5">
      <c r="B12" s="4"/>
      <c r="C12" s="4" t="s">
        <v>74</v>
      </c>
      <c r="D12" s="7">
        <v>5000</v>
      </c>
      <c r="E12" s="7">
        <f t="shared" si="0"/>
        <v>60000</v>
      </c>
    </row>
    <row r="13" spans="2:5">
      <c r="B13" s="4"/>
      <c r="C13" s="4" t="s">
        <v>75</v>
      </c>
      <c r="D13" s="7">
        <v>10000</v>
      </c>
      <c r="E13" s="7">
        <f>D13*12</f>
        <v>120000</v>
      </c>
    </row>
    <row r="14" spans="2:5">
      <c r="B14" s="4"/>
      <c r="C14" s="4" t="s">
        <v>76</v>
      </c>
      <c r="D14" s="7">
        <v>3000</v>
      </c>
      <c r="E14" s="7">
        <f>D14*12</f>
        <v>36000</v>
      </c>
    </row>
    <row r="15" spans="2:5">
      <c r="B15" s="4"/>
      <c r="C15" s="4" t="s">
        <v>152</v>
      </c>
      <c r="D15" s="7"/>
      <c r="E15" s="7">
        <f>D9*1*2</f>
        <v>120000</v>
      </c>
    </row>
    <row r="16" spans="2:5">
      <c r="B16" s="4"/>
      <c r="C16" s="4" t="s">
        <v>77</v>
      </c>
      <c r="D16" s="7" t="s">
        <v>154</v>
      </c>
      <c r="E16" s="7">
        <f>60000*10%*12</f>
        <v>72000</v>
      </c>
    </row>
    <row r="17" spans="2:5">
      <c r="B17" s="4"/>
      <c r="C17" s="4" t="s">
        <v>153</v>
      </c>
      <c r="D17" s="7"/>
      <c r="E17" s="7">
        <f>D9*3</f>
        <v>180000</v>
      </c>
    </row>
    <row r="18" spans="2:5">
      <c r="B18" s="4"/>
      <c r="C18" s="4"/>
      <c r="D18" s="7"/>
      <c r="E18" s="7"/>
    </row>
    <row r="19" spans="2:5" ht="15">
      <c r="B19" s="4"/>
      <c r="C19" s="6" t="s">
        <v>6</v>
      </c>
      <c r="D19" s="8"/>
      <c r="E19" s="8">
        <f>SUM(E9:E18)</f>
        <v>1908000</v>
      </c>
    </row>
    <row r="20" spans="2:5" ht="17.25">
      <c r="B20" s="4"/>
      <c r="C20" s="6" t="s">
        <v>11</v>
      </c>
      <c r="D20" s="8"/>
      <c r="E20" s="8">
        <v>450000</v>
      </c>
    </row>
    <row r="21" spans="2:5" ht="15.75" thickBot="1">
      <c r="B21" s="6" t="s">
        <v>17</v>
      </c>
      <c r="C21" s="6" t="s">
        <v>7</v>
      </c>
      <c r="D21" s="8"/>
      <c r="E21" s="19">
        <f>E19-E20</f>
        <v>1458000</v>
      </c>
    </row>
    <row r="22" spans="2:5" ht="20.25" thickTop="1">
      <c r="B22" s="5"/>
      <c r="C22" s="4"/>
      <c r="D22" s="7"/>
      <c r="E22" s="18"/>
    </row>
    <row r="24" spans="2:5" ht="17.25">
      <c r="B24" s="13" t="s">
        <v>18</v>
      </c>
      <c r="C24" s="3" t="s">
        <v>20</v>
      </c>
    </row>
    <row r="25" spans="2:5" ht="15" thickBot="1">
      <c r="B25" s="11"/>
      <c r="C25" t="s">
        <v>22</v>
      </c>
      <c r="D25" s="12"/>
      <c r="E25" s="49"/>
    </row>
    <row r="26" spans="2:5" ht="15" thickTop="1">
      <c r="E26" s="12"/>
    </row>
    <row r="27" spans="2:5" ht="17.25">
      <c r="B27" s="13" t="s">
        <v>59</v>
      </c>
      <c r="C27" s="3" t="s">
        <v>78</v>
      </c>
      <c r="E27" s="14"/>
    </row>
    <row r="28" spans="2:5" ht="15">
      <c r="B28" s="13"/>
      <c r="C28" t="s">
        <v>79</v>
      </c>
      <c r="D28" t="s">
        <v>155</v>
      </c>
      <c r="E28" s="14">
        <f>55000*100/90</f>
        <v>61111.111111111109</v>
      </c>
    </row>
    <row r="29" spans="2:5" ht="15">
      <c r="B29" s="13"/>
      <c r="C29" t="s">
        <v>81</v>
      </c>
      <c r="E29" s="14"/>
    </row>
    <row r="30" spans="2:5">
      <c r="C30" s="59" t="s">
        <v>156</v>
      </c>
      <c r="D30" s="59" t="s">
        <v>157</v>
      </c>
      <c r="E30" s="77">
        <f>30000/90*100</f>
        <v>33333.333333333328</v>
      </c>
    </row>
    <row r="31" spans="2:5">
      <c r="E31" s="14"/>
    </row>
    <row r="32" spans="2:5" ht="20.25" thickBot="1">
      <c r="B32" s="13"/>
      <c r="C32" s="16" t="s">
        <v>83</v>
      </c>
      <c r="E32" s="50">
        <f>E29+E30+E28</f>
        <v>94444.444444444438</v>
      </c>
    </row>
    <row r="33" spans="2:5" ht="15" thickTop="1">
      <c r="E33" s="14"/>
    </row>
    <row r="34" spans="2:5">
      <c r="E34" s="14"/>
    </row>
    <row r="35" spans="2:5" ht="19.5" customHeight="1">
      <c r="B35" s="94" t="s">
        <v>32</v>
      </c>
      <c r="C35" s="94"/>
      <c r="D35" s="94"/>
    </row>
    <row r="36" spans="2:5" ht="15" customHeight="1">
      <c r="B36" s="20"/>
      <c r="C36" s="21"/>
      <c r="D36" s="20"/>
      <c r="E36" s="20" t="s">
        <v>16</v>
      </c>
    </row>
    <row r="37" spans="2:5" ht="15" customHeight="1">
      <c r="B37">
        <v>1</v>
      </c>
      <c r="C37" t="s">
        <v>84</v>
      </c>
      <c r="D37" s="12"/>
      <c r="E37" s="12"/>
    </row>
    <row r="38" spans="2:5">
      <c r="B38">
        <v>2</v>
      </c>
      <c r="C38" t="s">
        <v>85</v>
      </c>
      <c r="D38" s="12"/>
      <c r="E38" s="12"/>
    </row>
    <row r="39" spans="2:5">
      <c r="B39">
        <v>3</v>
      </c>
      <c r="C39" t="s">
        <v>86</v>
      </c>
      <c r="D39" s="12"/>
      <c r="E39" s="12">
        <f>D9*10%*12*2</f>
        <v>144000</v>
      </c>
    </row>
    <row r="40" spans="2:5">
      <c r="B40">
        <v>4</v>
      </c>
      <c r="C40" t="s">
        <v>87</v>
      </c>
      <c r="D40" s="12" t="s">
        <v>158</v>
      </c>
      <c r="E40" s="12">
        <f>300000*10%</f>
        <v>30000</v>
      </c>
    </row>
    <row r="42" spans="2:5" ht="15" thickBot="1">
      <c r="E42" s="50">
        <f>SUM(E37:E40)</f>
        <v>174000</v>
      </c>
    </row>
    <row r="43" spans="2:5" ht="15" thickTop="1"/>
    <row r="45" spans="2:5" ht="15">
      <c r="C45" s="22" t="s">
        <v>33</v>
      </c>
    </row>
    <row r="46" spans="2:5" ht="15">
      <c r="C46" s="22" t="s">
        <v>159</v>
      </c>
    </row>
    <row r="47" spans="2:5" ht="15">
      <c r="C47" s="22" t="s">
        <v>134</v>
      </c>
    </row>
    <row r="49" spans="2:7" ht="15.75" thickBot="1">
      <c r="B49" s="13" t="s">
        <v>36</v>
      </c>
      <c r="C49" s="23" t="s">
        <v>37</v>
      </c>
      <c r="E49" s="24">
        <f>E21+E25+E32</f>
        <v>1552444.4444444445</v>
      </c>
    </row>
    <row r="50" spans="2:7" ht="15.75" thickTop="1">
      <c r="B50" s="13"/>
    </row>
    <row r="51" spans="2:7" ht="15">
      <c r="B51" s="13" t="s">
        <v>18</v>
      </c>
    </row>
    <row r="52" spans="2:7" ht="19.5">
      <c r="C52" s="25" t="s">
        <v>38</v>
      </c>
      <c r="D52" s="26" t="s">
        <v>39</v>
      </c>
      <c r="E52" s="26" t="s">
        <v>40</v>
      </c>
      <c r="F52" s="1"/>
      <c r="G52" s="26"/>
    </row>
    <row r="53" spans="2:7" ht="19.5">
      <c r="C53" s="25"/>
      <c r="D53" s="26" t="s">
        <v>54</v>
      </c>
      <c r="E53" s="26" t="s">
        <v>55</v>
      </c>
      <c r="F53" s="1"/>
      <c r="G53" s="26"/>
    </row>
    <row r="54" spans="2:7" ht="17.25">
      <c r="C54" s="27" t="s">
        <v>43</v>
      </c>
      <c r="D54" s="29">
        <v>350000</v>
      </c>
      <c r="E54" s="28" t="s">
        <v>42</v>
      </c>
      <c r="F54" s="33"/>
      <c r="G54" s="28"/>
    </row>
    <row r="55" spans="2:7" ht="17.25">
      <c r="C55" s="27" t="s">
        <v>44</v>
      </c>
      <c r="D55" s="29">
        <v>100000</v>
      </c>
      <c r="E55" s="30">
        <f>D55*5%</f>
        <v>5000</v>
      </c>
      <c r="F55" s="33"/>
      <c r="G55" s="30"/>
    </row>
    <row r="56" spans="2:7" ht="17.25">
      <c r="C56" s="27" t="s">
        <v>45</v>
      </c>
      <c r="D56" s="29">
        <v>400000</v>
      </c>
      <c r="E56" s="30">
        <f>D56*10%</f>
        <v>40000</v>
      </c>
      <c r="F56" s="33"/>
      <c r="G56" s="30"/>
    </row>
    <row r="57" spans="2:7" ht="17.25">
      <c r="C57" s="27" t="s">
        <v>46</v>
      </c>
      <c r="D57" s="29">
        <v>500000</v>
      </c>
      <c r="E57" s="30">
        <f>D57*15%</f>
        <v>75000</v>
      </c>
      <c r="F57" s="33"/>
      <c r="G57" s="30"/>
    </row>
    <row r="58" spans="2:7" ht="17.25">
      <c r="C58" s="27" t="s">
        <v>160</v>
      </c>
      <c r="D58" s="29">
        <v>202444</v>
      </c>
      <c r="E58" s="30">
        <f>D58*20%</f>
        <v>40488.800000000003</v>
      </c>
      <c r="F58" s="33"/>
      <c r="G58" s="30"/>
    </row>
    <row r="59" spans="2:7" ht="18" thickBot="1">
      <c r="C59" s="27"/>
      <c r="D59" s="78">
        <v>0</v>
      </c>
      <c r="E59" s="79">
        <f>D59*25%</f>
        <v>0</v>
      </c>
      <c r="F59" s="33"/>
      <c r="G59" s="1"/>
    </row>
    <row r="60" spans="2:7" ht="18" thickBot="1">
      <c r="C60" s="31"/>
      <c r="D60" s="35">
        <f>SUM(D54:D59)</f>
        <v>1552444</v>
      </c>
      <c r="E60" s="35">
        <f>SUM(E54:E59)</f>
        <v>160488.79999999999</v>
      </c>
      <c r="F60" s="1"/>
      <c r="G60" s="34"/>
    </row>
    <row r="61" spans="2:7" ht="15" thickTop="1"/>
    <row r="64" spans="2:7" s="9" customFormat="1" ht="15.75" customHeight="1">
      <c r="B64" s="93"/>
      <c r="C64" s="93"/>
      <c r="D64" s="93"/>
    </row>
    <row r="65" spans="2:5" ht="19.5">
      <c r="B65" s="39" t="s">
        <v>59</v>
      </c>
      <c r="C65" s="25" t="s">
        <v>49</v>
      </c>
      <c r="D65" s="1"/>
    </row>
    <row r="66" spans="2:5" ht="19.5">
      <c r="B66" s="38" t="s">
        <v>56</v>
      </c>
      <c r="C66" s="36" t="s">
        <v>50</v>
      </c>
      <c r="D66" s="28" t="s">
        <v>41</v>
      </c>
      <c r="E66" s="30">
        <f>E49*3%</f>
        <v>46573.333333333336</v>
      </c>
    </row>
    <row r="67" spans="2:5" ht="19.5">
      <c r="B67" s="38" t="s">
        <v>57</v>
      </c>
      <c r="C67" s="36" t="s">
        <v>51</v>
      </c>
      <c r="D67" s="28" t="s">
        <v>41</v>
      </c>
      <c r="E67" s="30">
        <f>E42*15%</f>
        <v>26100</v>
      </c>
    </row>
    <row r="68" spans="2:5" ht="19.5">
      <c r="B68" s="38" t="s">
        <v>58</v>
      </c>
      <c r="C68" s="36" t="s">
        <v>52</v>
      </c>
      <c r="D68" s="28" t="s">
        <v>41</v>
      </c>
      <c r="E68" s="30">
        <v>1000000</v>
      </c>
    </row>
    <row r="69" spans="2:5" ht="19.5">
      <c r="C69" s="36" t="s">
        <v>53</v>
      </c>
      <c r="D69" s="32" t="s">
        <v>54</v>
      </c>
      <c r="E69" s="37">
        <v>26100</v>
      </c>
    </row>
    <row r="70" spans="2:5">
      <c r="D70" s="12"/>
    </row>
    <row r="71" spans="2:5">
      <c r="D71" s="12"/>
    </row>
    <row r="72" spans="2:5" ht="17.25">
      <c r="B72" s="40" t="s">
        <v>60</v>
      </c>
      <c r="C72" s="41" t="s">
        <v>61</v>
      </c>
      <c r="D72" s="12"/>
      <c r="E72" s="37">
        <f>E60-E69</f>
        <v>134388.79999999999</v>
      </c>
    </row>
    <row r="73" spans="2:5" ht="15">
      <c r="B73" s="1"/>
      <c r="C73" s="1"/>
      <c r="D73" s="12"/>
    </row>
    <row r="74" spans="2:5" ht="17.25">
      <c r="B74" s="40" t="s">
        <v>62</v>
      </c>
      <c r="C74" s="41" t="s">
        <v>63</v>
      </c>
      <c r="D74" s="12"/>
    </row>
    <row r="75" spans="2:5" ht="19.5">
      <c r="B75" s="38" t="s">
        <v>56</v>
      </c>
      <c r="C75" s="21" t="s">
        <v>64</v>
      </c>
      <c r="D75" s="12" t="s">
        <v>54</v>
      </c>
      <c r="E75" s="44">
        <v>5000</v>
      </c>
    </row>
    <row r="76" spans="2:5" ht="19.5">
      <c r="B76" s="38" t="s">
        <v>57</v>
      </c>
      <c r="C76" s="21" t="s">
        <v>65</v>
      </c>
      <c r="D76" s="12"/>
      <c r="E76" s="45">
        <v>0</v>
      </c>
    </row>
    <row r="77" spans="2:5" ht="19.5">
      <c r="B77" s="38" t="s">
        <v>58</v>
      </c>
      <c r="C77" s="21" t="s">
        <v>66</v>
      </c>
      <c r="D77" s="10"/>
      <c r="E77" s="45">
        <v>0</v>
      </c>
    </row>
    <row r="78" spans="2:5" ht="19.5">
      <c r="B78" s="1"/>
      <c r="C78" s="36" t="s">
        <v>67</v>
      </c>
      <c r="E78" s="42"/>
    </row>
    <row r="79" spans="2:5">
      <c r="E79" s="42"/>
    </row>
    <row r="81" spans="2:5" ht="18" thickBot="1">
      <c r="B81" s="13" t="s">
        <v>19</v>
      </c>
      <c r="C81" s="43" t="s">
        <v>68</v>
      </c>
      <c r="E81" s="46">
        <v>134388.79999999999</v>
      </c>
    </row>
    <row r="82" spans="2:5" ht="15" thickTop="1"/>
    <row r="83" spans="2:5" ht="15">
      <c r="B83" s="13" t="s">
        <v>91</v>
      </c>
      <c r="C83" s="13" t="s">
        <v>92</v>
      </c>
    </row>
    <row r="84" spans="2:5">
      <c r="C84" t="s">
        <v>113</v>
      </c>
      <c r="D84">
        <v>60000</v>
      </c>
    </row>
    <row r="85" spans="2:5" ht="19.5">
      <c r="C85" s="36" t="s">
        <v>93</v>
      </c>
      <c r="D85" s="30"/>
    </row>
    <row r="86" spans="2:5" ht="17.25">
      <c r="C86" t="s">
        <v>94</v>
      </c>
      <c r="D86" s="44"/>
    </row>
    <row r="87" spans="2:5">
      <c r="E87" s="53"/>
    </row>
    <row r="88" spans="2:5" ht="15" thickBot="1">
      <c r="E88" s="52">
        <f>SUM(D84:D86)</f>
        <v>60000</v>
      </c>
    </row>
    <row r="89" spans="2:5" ht="15" thickTop="1"/>
    <row r="91" spans="2:5" ht="18" thickBot="1">
      <c r="B91" t="s">
        <v>95</v>
      </c>
      <c r="C91" s="3" t="s">
        <v>96</v>
      </c>
      <c r="D91" t="s">
        <v>54</v>
      </c>
      <c r="E91" s="56">
        <f>E81-E88</f>
        <v>74388.799999999988</v>
      </c>
    </row>
    <row r="92" spans="2:5" ht="15" thickTop="1"/>
  </sheetData>
  <mergeCells count="5">
    <mergeCell ref="B5:E5"/>
    <mergeCell ref="B6:E6"/>
    <mergeCell ref="B7:E7"/>
    <mergeCell ref="B35:D35"/>
    <mergeCell ref="B64:D64"/>
  </mergeCells>
  <pageMargins left="0.7" right="0.7" top="0.75" bottom="0.75" header="0.3" footer="0.3"/>
  <pageSetup scale="86" orientation="portrait" r:id="rId1"/>
  <rowBreaks count="1" manualBreakCount="1">
    <brk id="50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E23FA-2D4F-42C3-9501-CF110461014A}">
  <dimension ref="B2:G96"/>
  <sheetViews>
    <sheetView view="pageBreakPreview" topLeftCell="A88" zoomScale="60" zoomScaleNormal="100" workbookViewId="0">
      <selection activeCell="L22" sqref="L22"/>
    </sheetView>
  </sheetViews>
  <sheetFormatPr defaultRowHeight="14.25"/>
  <cols>
    <col min="1" max="1" width="2" customWidth="1"/>
    <col min="2" max="2" width="10" customWidth="1"/>
    <col min="3" max="3" width="46.875" customWidth="1"/>
    <col min="4" max="4" width="20.75" customWidth="1"/>
    <col min="5" max="5" width="16.25" customWidth="1"/>
  </cols>
  <sheetData>
    <row r="2" spans="2:5" ht="18">
      <c r="B2" s="47" t="s">
        <v>70</v>
      </c>
      <c r="C2" s="48" t="s">
        <v>199</v>
      </c>
    </row>
    <row r="4" spans="2:5" ht="15">
      <c r="B4" s="2"/>
    </row>
    <row r="5" spans="2:5" ht="15" customHeight="1">
      <c r="B5" s="92" t="s">
        <v>200</v>
      </c>
      <c r="C5" s="92"/>
      <c r="D5" s="92"/>
      <c r="E5" s="92"/>
    </row>
    <row r="6" spans="2:5" ht="15" customHeight="1">
      <c r="B6" s="92" t="s">
        <v>0</v>
      </c>
      <c r="C6" s="92"/>
      <c r="D6" s="92"/>
      <c r="E6" s="92"/>
    </row>
    <row r="7" spans="2:5" ht="15" customHeight="1">
      <c r="B7" s="92" t="s">
        <v>179</v>
      </c>
      <c r="C7" s="92"/>
      <c r="D7" s="92"/>
      <c r="E7" s="92"/>
    </row>
    <row r="8" spans="2:5" ht="15">
      <c r="B8" s="6" t="s">
        <v>8</v>
      </c>
      <c r="C8" s="6" t="s">
        <v>1</v>
      </c>
      <c r="D8" s="6" t="s">
        <v>2</v>
      </c>
      <c r="E8" s="6" t="s">
        <v>3</v>
      </c>
    </row>
    <row r="9" spans="2:5">
      <c r="B9" s="4"/>
      <c r="C9" s="4" t="s">
        <v>4</v>
      </c>
      <c r="D9" s="7">
        <v>110000</v>
      </c>
      <c r="E9" s="7">
        <f>D9*12</f>
        <v>1320000</v>
      </c>
    </row>
    <row r="10" spans="2:5">
      <c r="B10" s="4"/>
      <c r="C10" s="4" t="s">
        <v>202</v>
      </c>
      <c r="D10" s="7">
        <v>50000</v>
      </c>
      <c r="E10" s="7">
        <f>D10*12</f>
        <v>600000</v>
      </c>
    </row>
    <row r="11" spans="2:5">
      <c r="B11" s="4"/>
      <c r="C11" s="4" t="s">
        <v>12</v>
      </c>
      <c r="D11" s="7">
        <v>12500</v>
      </c>
      <c r="E11" s="7">
        <f t="shared" ref="E11" si="0">D11*12</f>
        <v>150000</v>
      </c>
    </row>
    <row r="12" spans="2:5">
      <c r="B12" s="4"/>
      <c r="C12" s="4" t="s">
        <v>141</v>
      </c>
      <c r="D12" s="7"/>
      <c r="E12" s="7">
        <v>220000</v>
      </c>
    </row>
    <row r="13" spans="2:5">
      <c r="B13" s="4"/>
      <c r="C13" s="4" t="s">
        <v>77</v>
      </c>
      <c r="D13" s="7" t="s">
        <v>203</v>
      </c>
      <c r="E13" s="7">
        <f>D9*10%*12</f>
        <v>132000</v>
      </c>
    </row>
    <row r="14" spans="2:5">
      <c r="B14" s="4"/>
      <c r="C14" s="54" t="s">
        <v>216</v>
      </c>
      <c r="D14" s="55">
        <v>10000</v>
      </c>
      <c r="E14" s="55">
        <f>D14*12</f>
        <v>120000</v>
      </c>
    </row>
    <row r="15" spans="2:5">
      <c r="B15" s="4"/>
      <c r="C15" s="4"/>
      <c r="D15" s="7"/>
      <c r="E15" s="7"/>
    </row>
    <row r="16" spans="2:5" ht="15">
      <c r="B16" s="4"/>
      <c r="C16" s="6" t="s">
        <v>6</v>
      </c>
      <c r="D16" s="8"/>
      <c r="E16" s="8">
        <f>SUM(E9:E15)</f>
        <v>2542000</v>
      </c>
    </row>
    <row r="17" spans="2:5" ht="17.25">
      <c r="B17" s="4"/>
      <c r="C17" s="6" t="s">
        <v>11</v>
      </c>
      <c r="D17" s="8"/>
      <c r="E17" s="8">
        <v>450000</v>
      </c>
    </row>
    <row r="18" spans="2:5" ht="15.75" thickBot="1">
      <c r="B18" s="6" t="s">
        <v>17</v>
      </c>
      <c r="C18" s="6" t="s">
        <v>7</v>
      </c>
      <c r="D18" s="8"/>
      <c r="E18" s="19">
        <f>E16-E17</f>
        <v>2092000</v>
      </c>
    </row>
    <row r="19" spans="2:5" ht="20.25" thickTop="1">
      <c r="B19" s="5"/>
      <c r="C19" s="4"/>
      <c r="D19" s="7"/>
      <c r="E19" s="18"/>
    </row>
    <row r="21" spans="2:5" ht="17.25">
      <c r="B21" s="13" t="s">
        <v>18</v>
      </c>
      <c r="C21" s="3" t="s">
        <v>20</v>
      </c>
    </row>
    <row r="22" spans="2:5" ht="15">
      <c r="B22" s="11"/>
      <c r="C22" t="s">
        <v>22</v>
      </c>
      <c r="D22" s="12">
        <v>70000</v>
      </c>
      <c r="E22" s="85">
        <f>D22*12</f>
        <v>840000</v>
      </c>
    </row>
    <row r="23" spans="2:5" ht="15">
      <c r="B23" t="s">
        <v>21</v>
      </c>
      <c r="C23" t="s">
        <v>215</v>
      </c>
      <c r="D23" t="s">
        <v>222</v>
      </c>
      <c r="E23" s="85">
        <f>E22*30%</f>
        <v>252000</v>
      </c>
    </row>
    <row r="24" spans="2:5" ht="15">
      <c r="E24" s="85"/>
    </row>
    <row r="25" spans="2:5" ht="15.75" thickBot="1">
      <c r="E25" s="86">
        <f>E22-E23</f>
        <v>588000</v>
      </c>
    </row>
    <row r="26" spans="2:5" ht="18" thickTop="1">
      <c r="B26" s="13" t="s">
        <v>59</v>
      </c>
      <c r="C26" s="3" t="s">
        <v>78</v>
      </c>
      <c r="E26" s="14"/>
    </row>
    <row r="27" spans="2:5" ht="15">
      <c r="B27" s="13"/>
      <c r="C27" t="s">
        <v>193</v>
      </c>
      <c r="D27" t="s">
        <v>206</v>
      </c>
      <c r="E27" s="14">
        <f>90000*100/90</f>
        <v>100000</v>
      </c>
    </row>
    <row r="28" spans="2:5" ht="15">
      <c r="B28" s="13"/>
      <c r="C28" t="s">
        <v>207</v>
      </c>
      <c r="E28" s="14">
        <v>10000</v>
      </c>
    </row>
    <row r="29" spans="2:5">
      <c r="C29" t="s">
        <v>208</v>
      </c>
      <c r="E29" s="14">
        <v>50000</v>
      </c>
    </row>
    <row r="30" spans="2:5">
      <c r="E30" s="14"/>
    </row>
    <row r="31" spans="2:5">
      <c r="E31" s="14"/>
    </row>
    <row r="32" spans="2:5" ht="20.25" thickBot="1">
      <c r="B32" s="13"/>
      <c r="C32" s="16" t="s">
        <v>83</v>
      </c>
      <c r="E32" s="50">
        <f>SUM(E27:E31)</f>
        <v>160000</v>
      </c>
    </row>
    <row r="33" spans="2:5" ht="18" thickTop="1">
      <c r="B33" t="s">
        <v>60</v>
      </c>
      <c r="C33" s="3" t="s">
        <v>183</v>
      </c>
      <c r="E33" s="14"/>
    </row>
    <row r="34" spans="2:5" ht="15.75" thickBot="1">
      <c r="C34" t="s">
        <v>210</v>
      </c>
      <c r="E34" s="24">
        <v>250000</v>
      </c>
    </row>
    <row r="35" spans="2:5" ht="15" thickTop="1">
      <c r="E35" s="14"/>
    </row>
    <row r="36" spans="2:5" ht="17.25">
      <c r="B36" t="s">
        <v>211</v>
      </c>
      <c r="C36" s="3" t="s">
        <v>212</v>
      </c>
      <c r="E36" s="14"/>
    </row>
    <row r="37" spans="2:5">
      <c r="C37" t="s">
        <v>213</v>
      </c>
      <c r="E37" s="14">
        <v>1000000</v>
      </c>
    </row>
    <row r="38" spans="2:5">
      <c r="B38" t="s">
        <v>21</v>
      </c>
      <c r="C38" t="s">
        <v>214</v>
      </c>
      <c r="E38" s="14">
        <v>200000</v>
      </c>
    </row>
    <row r="39" spans="2:5" ht="15.75" thickBot="1">
      <c r="E39" s="84">
        <f>E37-E38</f>
        <v>800000</v>
      </c>
    </row>
    <row r="40" spans="2:5" ht="19.5" customHeight="1" thickTop="1">
      <c r="B40" s="94" t="s">
        <v>32</v>
      </c>
      <c r="C40" s="94"/>
      <c r="D40" s="94"/>
    </row>
    <row r="41" spans="2:5" ht="15" customHeight="1">
      <c r="B41" s="20"/>
      <c r="C41" s="21"/>
      <c r="D41" s="20"/>
      <c r="E41" s="20" t="s">
        <v>16</v>
      </c>
    </row>
    <row r="42" spans="2:5" ht="15" customHeight="1">
      <c r="B42">
        <v>1</v>
      </c>
      <c r="C42" t="s">
        <v>187</v>
      </c>
      <c r="D42" s="12"/>
      <c r="E42" s="12">
        <v>300000</v>
      </c>
    </row>
    <row r="43" spans="2:5">
      <c r="B43">
        <v>2</v>
      </c>
      <c r="C43" t="s">
        <v>204</v>
      </c>
      <c r="D43" t="s">
        <v>205</v>
      </c>
      <c r="E43" s="12">
        <f>5000*12*2</f>
        <v>120000</v>
      </c>
    </row>
    <row r="44" spans="2:5" ht="15.75" thickBot="1">
      <c r="E44" s="84">
        <f>SUM(E42:E43)</f>
        <v>420000</v>
      </c>
    </row>
    <row r="45" spans="2:5" ht="15" thickTop="1"/>
    <row r="47" spans="2:5" ht="15">
      <c r="C47" s="22" t="s">
        <v>33</v>
      </c>
    </row>
    <row r="48" spans="2:5" ht="15">
      <c r="C48" s="22" t="s">
        <v>201</v>
      </c>
    </row>
    <row r="49" spans="2:7" ht="15">
      <c r="C49" s="22" t="s">
        <v>184</v>
      </c>
    </row>
    <row r="51" spans="2:7" ht="15.75" thickBot="1">
      <c r="B51" s="13" t="s">
        <v>36</v>
      </c>
      <c r="C51" s="23" t="s">
        <v>37</v>
      </c>
      <c r="E51" s="24">
        <f>E18+E22+E32+E34+E39</f>
        <v>4142000</v>
      </c>
    </row>
    <row r="52" spans="2:7" ht="15.75" thickTop="1">
      <c r="B52" s="13"/>
    </row>
    <row r="53" spans="2:7" ht="15">
      <c r="B53" s="13" t="s">
        <v>18</v>
      </c>
    </row>
    <row r="54" spans="2:7" ht="19.5">
      <c r="C54" s="25" t="s">
        <v>38</v>
      </c>
      <c r="D54" s="26" t="s">
        <v>39</v>
      </c>
      <c r="E54" s="26" t="s">
        <v>40</v>
      </c>
      <c r="F54" s="1"/>
      <c r="G54" s="26"/>
    </row>
    <row r="55" spans="2:7" ht="19.5">
      <c r="C55" s="25"/>
      <c r="D55" s="26" t="s">
        <v>54</v>
      </c>
      <c r="E55" s="26" t="s">
        <v>55</v>
      </c>
      <c r="F55" s="1"/>
      <c r="G55" s="26"/>
    </row>
    <row r="56" spans="2:7" ht="17.25">
      <c r="C56" s="27" t="s">
        <v>43</v>
      </c>
      <c r="D56" s="29">
        <v>350000</v>
      </c>
      <c r="E56" s="28" t="s">
        <v>42</v>
      </c>
      <c r="F56" s="33"/>
      <c r="G56" s="28"/>
    </row>
    <row r="57" spans="2:7" ht="17.25">
      <c r="C57" s="27" t="s">
        <v>44</v>
      </c>
      <c r="D57" s="29">
        <v>100000</v>
      </c>
      <c r="E57" s="30">
        <f>D57*5%</f>
        <v>5000</v>
      </c>
      <c r="F57" s="33"/>
      <c r="G57" s="30"/>
    </row>
    <row r="58" spans="2:7" ht="17.25">
      <c r="C58" s="27" t="s">
        <v>45</v>
      </c>
      <c r="D58" s="29">
        <v>400000</v>
      </c>
      <c r="E58" s="30">
        <f>D58*10%</f>
        <v>40000</v>
      </c>
      <c r="F58" s="33"/>
      <c r="G58" s="30"/>
    </row>
    <row r="59" spans="2:7" ht="17.25">
      <c r="C59" s="27" t="s">
        <v>46</v>
      </c>
      <c r="D59" s="29">
        <v>500000</v>
      </c>
      <c r="E59" s="30">
        <f>D59*15%</f>
        <v>75000</v>
      </c>
      <c r="F59" s="33"/>
      <c r="G59" s="30"/>
    </row>
    <row r="60" spans="2:7" ht="17.25">
      <c r="C60" s="27" t="s">
        <v>47</v>
      </c>
      <c r="D60" s="29">
        <v>500000</v>
      </c>
      <c r="E60" s="30">
        <f>D60*20%</f>
        <v>100000</v>
      </c>
      <c r="F60" s="33"/>
      <c r="G60" s="30"/>
    </row>
    <row r="61" spans="2:7" ht="18" thickBot="1">
      <c r="C61" s="27" t="s">
        <v>48</v>
      </c>
      <c r="D61" s="29">
        <v>2292000</v>
      </c>
      <c r="E61" s="30">
        <f>D61*25%</f>
        <v>573000</v>
      </c>
      <c r="F61" s="33"/>
      <c r="G61" s="1"/>
    </row>
    <row r="62" spans="2:7" ht="18" thickBot="1">
      <c r="C62" s="31"/>
      <c r="D62" s="35">
        <f>SUM(D56:D61)</f>
        <v>4142000</v>
      </c>
      <c r="E62" s="35">
        <f>SUM(E56:E61)</f>
        <v>793000</v>
      </c>
      <c r="F62" s="1"/>
      <c r="G62" s="34"/>
    </row>
    <row r="63" spans="2:7" ht="15" thickTop="1"/>
    <row r="66" spans="2:5" s="9" customFormat="1" ht="15.75" customHeight="1">
      <c r="B66" s="93"/>
      <c r="C66" s="93"/>
      <c r="D66" s="93"/>
    </row>
    <row r="67" spans="2:5" ht="19.5">
      <c r="B67" s="39" t="s">
        <v>59</v>
      </c>
      <c r="C67" s="25" t="s">
        <v>49</v>
      </c>
      <c r="D67" s="1"/>
    </row>
    <row r="68" spans="2:5" ht="19.5">
      <c r="B68" s="38" t="s">
        <v>56</v>
      </c>
      <c r="C68" s="36" t="s">
        <v>50</v>
      </c>
      <c r="D68" s="28" t="s">
        <v>41</v>
      </c>
      <c r="E68" s="30">
        <f>E51*3%</f>
        <v>124260</v>
      </c>
    </row>
    <row r="69" spans="2:5" ht="19.5">
      <c r="B69" s="38" t="s">
        <v>57</v>
      </c>
      <c r="C69" s="36" t="s">
        <v>51</v>
      </c>
      <c r="D69" s="28" t="s">
        <v>41</v>
      </c>
      <c r="E69" s="30">
        <f>E44*15%</f>
        <v>63000</v>
      </c>
    </row>
    <row r="70" spans="2:5" ht="19.5">
      <c r="B70" s="38" t="s">
        <v>58</v>
      </c>
      <c r="C70" s="36" t="s">
        <v>52</v>
      </c>
      <c r="D70" s="28" t="s">
        <v>41</v>
      </c>
      <c r="E70" s="30">
        <v>1000000</v>
      </c>
    </row>
    <row r="71" spans="2:5" ht="19.5">
      <c r="C71" s="36" t="s">
        <v>53</v>
      </c>
      <c r="D71" s="32" t="s">
        <v>54</v>
      </c>
      <c r="E71" s="37">
        <v>63000</v>
      </c>
    </row>
    <row r="72" spans="2:5">
      <c r="D72" s="12"/>
    </row>
    <row r="73" spans="2:5">
      <c r="D73" s="12"/>
    </row>
    <row r="74" spans="2:5" ht="17.25">
      <c r="B74" s="40" t="s">
        <v>60</v>
      </c>
      <c r="C74" s="41" t="s">
        <v>61</v>
      </c>
      <c r="D74" s="12"/>
      <c r="E74" s="37">
        <f>E62-E71</f>
        <v>730000</v>
      </c>
    </row>
    <row r="75" spans="2:5" ht="15">
      <c r="B75" s="1"/>
      <c r="C75" s="1"/>
      <c r="D75" s="12"/>
    </row>
    <row r="76" spans="2:5" ht="17.25">
      <c r="B76" s="40" t="s">
        <v>62</v>
      </c>
      <c r="C76" s="41" t="s">
        <v>63</v>
      </c>
      <c r="D76" s="12"/>
    </row>
    <row r="77" spans="2:5" ht="19.5">
      <c r="B77" s="38" t="s">
        <v>56</v>
      </c>
      <c r="C77" s="21" t="s">
        <v>64</v>
      </c>
      <c r="D77" s="12" t="s">
        <v>54</v>
      </c>
      <c r="E77" s="44">
        <v>5000</v>
      </c>
    </row>
    <row r="78" spans="2:5" ht="19.5">
      <c r="B78" s="38" t="s">
        <v>57</v>
      </c>
      <c r="C78" s="21" t="s">
        <v>65</v>
      </c>
      <c r="D78" s="12"/>
      <c r="E78" s="45">
        <v>0</v>
      </c>
    </row>
    <row r="79" spans="2:5" ht="19.5">
      <c r="B79" s="38" t="s">
        <v>58</v>
      </c>
      <c r="C79" s="21" t="s">
        <v>66</v>
      </c>
      <c r="D79" s="10"/>
      <c r="E79" s="45">
        <v>0</v>
      </c>
    </row>
    <row r="80" spans="2:5" ht="19.5">
      <c r="B80" s="1"/>
      <c r="C80" s="36" t="s">
        <v>67</v>
      </c>
      <c r="E80" s="42"/>
    </row>
    <row r="81" spans="2:5">
      <c r="E81" s="42"/>
    </row>
    <row r="83" spans="2:5" ht="18" thickBot="1">
      <c r="B83" s="13" t="s">
        <v>19</v>
      </c>
      <c r="C83" s="43" t="s">
        <v>68</v>
      </c>
      <c r="E83" s="46">
        <v>730000</v>
      </c>
    </row>
    <row r="84" spans="2:5" ht="15" thickTop="1"/>
    <row r="85" spans="2:5" ht="15">
      <c r="B85" s="13" t="s">
        <v>91</v>
      </c>
      <c r="C85" s="13" t="s">
        <v>92</v>
      </c>
    </row>
    <row r="86" spans="2:5" ht="17.25">
      <c r="C86" t="s">
        <v>190</v>
      </c>
      <c r="D86" s="30">
        <v>145000</v>
      </c>
      <c r="E86" s="30"/>
    </row>
    <row r="87" spans="2:5" ht="19.5">
      <c r="C87" s="36" t="s">
        <v>93</v>
      </c>
      <c r="D87" s="30">
        <v>10000</v>
      </c>
    </row>
    <row r="88" spans="2:5" ht="19.5">
      <c r="C88" s="36" t="s">
        <v>192</v>
      </c>
      <c r="D88" s="30"/>
    </row>
    <row r="89" spans="2:5" ht="19.5">
      <c r="C89" s="36" t="s">
        <v>209</v>
      </c>
      <c r="D89" s="30">
        <f>E22*5%</f>
        <v>42000</v>
      </c>
    </row>
    <row r="90" spans="2:5" ht="19.5">
      <c r="C90" s="36" t="s">
        <v>248</v>
      </c>
      <c r="D90" s="44">
        <v>40000</v>
      </c>
    </row>
    <row r="91" spans="2:5">
      <c r="E91" s="53"/>
    </row>
    <row r="92" spans="2:5" ht="15" thickBot="1">
      <c r="E92" s="51">
        <f>SUM(D86:D90)</f>
        <v>237000</v>
      </c>
    </row>
    <row r="93" spans="2:5" ht="15" thickTop="1"/>
    <row r="95" spans="2:5" ht="18" thickBot="1">
      <c r="B95" t="s">
        <v>95</v>
      </c>
      <c r="C95" s="3" t="s">
        <v>96</v>
      </c>
      <c r="D95" t="s">
        <v>54</v>
      </c>
      <c r="E95" s="51">
        <f>E83-E92</f>
        <v>493000</v>
      </c>
    </row>
    <row r="96" spans="2:5" ht="15" thickTop="1"/>
  </sheetData>
  <mergeCells count="5">
    <mergeCell ref="B5:E5"/>
    <mergeCell ref="B6:E6"/>
    <mergeCell ref="B7:E7"/>
    <mergeCell ref="B40:D40"/>
    <mergeCell ref="B66:D66"/>
  </mergeCells>
  <pageMargins left="0.7" right="0.7" top="0.75" bottom="0.75" header="0.3" footer="0.3"/>
  <pageSetup scale="86" orientation="portrait" r:id="rId1"/>
  <rowBreaks count="1" manualBreakCount="1">
    <brk id="52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AFBF9-1B8E-400E-AB51-A4D38C1E81FC}">
  <dimension ref="B2:G97"/>
  <sheetViews>
    <sheetView view="pageBreakPreview" topLeftCell="A88" zoomScale="60" zoomScaleNormal="100" workbookViewId="0">
      <selection activeCell="P62" sqref="P62"/>
    </sheetView>
  </sheetViews>
  <sheetFormatPr defaultRowHeight="14.25"/>
  <cols>
    <col min="1" max="1" width="2" customWidth="1"/>
    <col min="2" max="2" width="10" customWidth="1"/>
    <col min="3" max="3" width="46.875" customWidth="1"/>
    <col min="4" max="4" width="20.75" customWidth="1"/>
    <col min="5" max="5" width="16.25" customWidth="1"/>
  </cols>
  <sheetData>
    <row r="2" spans="2:5" ht="18">
      <c r="B2" s="47" t="s">
        <v>70</v>
      </c>
      <c r="C2" s="48" t="s">
        <v>176</v>
      </c>
    </row>
    <row r="4" spans="2:5" ht="15">
      <c r="B4" s="2"/>
    </row>
    <row r="5" spans="2:5" ht="15" customHeight="1">
      <c r="B5" s="92" t="s">
        <v>177</v>
      </c>
      <c r="C5" s="92"/>
      <c r="D5" s="92"/>
      <c r="E5" s="92"/>
    </row>
    <row r="6" spans="2:5" ht="15" customHeight="1">
      <c r="B6" s="92" t="s">
        <v>0</v>
      </c>
      <c r="C6" s="92"/>
      <c r="D6" s="92"/>
      <c r="E6" s="92"/>
    </row>
    <row r="7" spans="2:5" ht="15" customHeight="1">
      <c r="B7" s="92" t="s">
        <v>179</v>
      </c>
      <c r="C7" s="92"/>
      <c r="D7" s="92"/>
      <c r="E7" s="92"/>
    </row>
    <row r="8" spans="2:5" ht="15">
      <c r="B8" s="6" t="s">
        <v>8</v>
      </c>
      <c r="C8" s="6" t="s">
        <v>1</v>
      </c>
      <c r="D8" s="6" t="s">
        <v>2</v>
      </c>
      <c r="E8" s="6" t="s">
        <v>3</v>
      </c>
    </row>
    <row r="9" spans="2:5">
      <c r="B9" s="4"/>
      <c r="C9" s="4" t="s">
        <v>4</v>
      </c>
      <c r="D9" s="7">
        <v>80000</v>
      </c>
      <c r="E9" s="7">
        <f>D9*12</f>
        <v>960000</v>
      </c>
    </row>
    <row r="10" spans="2:5">
      <c r="B10" s="4"/>
      <c r="C10" s="4" t="s">
        <v>180</v>
      </c>
      <c r="D10" s="7"/>
      <c r="E10" s="7">
        <f>D9*60%*12</f>
        <v>576000</v>
      </c>
    </row>
    <row r="11" spans="2:5">
      <c r="B11" s="4"/>
      <c r="C11" s="4" t="s">
        <v>12</v>
      </c>
      <c r="D11" s="7">
        <v>5000</v>
      </c>
      <c r="E11" s="7">
        <f t="shared" ref="E11:E12" si="0">D11*12</f>
        <v>60000</v>
      </c>
    </row>
    <row r="12" spans="2:5">
      <c r="B12" s="4"/>
      <c r="C12" s="4" t="s">
        <v>74</v>
      </c>
      <c r="D12" s="7">
        <v>4000</v>
      </c>
      <c r="E12" s="7">
        <f t="shared" si="0"/>
        <v>48000</v>
      </c>
    </row>
    <row r="13" spans="2:5">
      <c r="B13" s="4"/>
      <c r="C13" s="4" t="s">
        <v>75</v>
      </c>
      <c r="D13" s="7">
        <v>10000</v>
      </c>
      <c r="E13" s="7">
        <f>D13*12</f>
        <v>120000</v>
      </c>
    </row>
    <row r="14" spans="2:5">
      <c r="B14" s="4"/>
      <c r="C14" s="4"/>
      <c r="D14" s="7"/>
      <c r="E14" s="7"/>
    </row>
    <row r="15" spans="2:5">
      <c r="B15" s="4"/>
      <c r="C15" s="4" t="s">
        <v>152</v>
      </c>
      <c r="D15" s="7"/>
      <c r="E15" s="7">
        <f>D9*1*2</f>
        <v>160000</v>
      </c>
    </row>
    <row r="16" spans="2:5">
      <c r="B16" s="4"/>
      <c r="C16" s="4" t="s">
        <v>77</v>
      </c>
      <c r="D16" s="7" t="s">
        <v>182</v>
      </c>
      <c r="E16" s="7">
        <f>80000*10%*12</f>
        <v>96000</v>
      </c>
    </row>
    <row r="17" spans="2:5">
      <c r="B17" s="4"/>
      <c r="C17" s="4" t="s">
        <v>139</v>
      </c>
      <c r="D17" s="7"/>
      <c r="E17" s="7">
        <v>150000</v>
      </c>
    </row>
    <row r="18" spans="2:5">
      <c r="B18" s="4"/>
      <c r="C18" s="4" t="s">
        <v>181</v>
      </c>
      <c r="D18" s="7"/>
      <c r="E18" s="7">
        <f>D9*20%</f>
        <v>16000</v>
      </c>
    </row>
    <row r="19" spans="2:5" ht="15">
      <c r="B19" s="4"/>
      <c r="C19" s="6" t="s">
        <v>6</v>
      </c>
      <c r="D19" s="8"/>
      <c r="E19" s="8">
        <f>SUM(E9:E18)</f>
        <v>2186000</v>
      </c>
    </row>
    <row r="20" spans="2:5" ht="17.25">
      <c r="B20" s="4"/>
      <c r="C20" s="6" t="s">
        <v>11</v>
      </c>
      <c r="D20" s="8"/>
      <c r="E20" s="8">
        <v>450000</v>
      </c>
    </row>
    <row r="21" spans="2:5" ht="15.75" thickBot="1">
      <c r="B21" s="6" t="s">
        <v>17</v>
      </c>
      <c r="C21" s="6" t="s">
        <v>7</v>
      </c>
      <c r="D21" s="8"/>
      <c r="E21" s="19">
        <f>E19-E20</f>
        <v>1736000</v>
      </c>
    </row>
    <row r="22" spans="2:5" ht="20.25" thickTop="1">
      <c r="B22" s="5"/>
      <c r="C22" s="4"/>
      <c r="D22" s="7"/>
      <c r="E22" s="18"/>
    </row>
    <row r="24" spans="2:5" ht="17.25">
      <c r="B24" s="13" t="s">
        <v>18</v>
      </c>
      <c r="C24" s="3" t="s">
        <v>20</v>
      </c>
    </row>
    <row r="25" spans="2:5" ht="15">
      <c r="B25" s="13"/>
      <c r="C25" t="s">
        <v>22</v>
      </c>
      <c r="D25" s="12"/>
      <c r="E25" s="12">
        <v>240000</v>
      </c>
    </row>
    <row r="26" spans="2:5" ht="15">
      <c r="B26" s="13" t="s">
        <v>219</v>
      </c>
      <c r="C26" t="s">
        <v>220</v>
      </c>
      <c r="D26" t="s">
        <v>221</v>
      </c>
      <c r="E26" s="14">
        <f>E25*25%</f>
        <v>60000</v>
      </c>
    </row>
    <row r="27" spans="2:5" ht="15" thickBot="1">
      <c r="B27" s="11"/>
      <c r="D27" s="12"/>
      <c r="E27" s="88">
        <f>E25-E26</f>
        <v>180000</v>
      </c>
    </row>
    <row r="28" spans="2:5" ht="15" thickTop="1">
      <c r="E28" s="12"/>
    </row>
    <row r="29" spans="2:5" ht="17.25">
      <c r="B29" s="13" t="s">
        <v>59</v>
      </c>
      <c r="C29" s="3" t="s">
        <v>78</v>
      </c>
      <c r="E29" s="14"/>
    </row>
    <row r="30" spans="2:5" ht="15">
      <c r="B30" s="13"/>
      <c r="C30" t="s">
        <v>193</v>
      </c>
      <c r="E30" s="14">
        <v>50000</v>
      </c>
    </row>
    <row r="31" spans="2:5" ht="15">
      <c r="B31" s="13"/>
      <c r="C31" t="s">
        <v>81</v>
      </c>
      <c r="D31" t="s">
        <v>186</v>
      </c>
      <c r="E31" s="14">
        <f>54000/90*100</f>
        <v>60000</v>
      </c>
    </row>
    <row r="32" spans="2:5">
      <c r="E32" s="14"/>
    </row>
    <row r="33" spans="2:5">
      <c r="E33" s="14"/>
    </row>
    <row r="34" spans="2:5" ht="20.25" thickBot="1">
      <c r="B34" s="13"/>
      <c r="C34" s="16" t="s">
        <v>83</v>
      </c>
      <c r="E34" s="50">
        <f>E31+E32+E30</f>
        <v>110000</v>
      </c>
    </row>
    <row r="35" spans="2:5" ht="18" thickTop="1">
      <c r="B35" t="s">
        <v>60</v>
      </c>
      <c r="C35" s="3" t="s">
        <v>183</v>
      </c>
      <c r="E35" s="14"/>
    </row>
    <row r="36" spans="2:5" ht="15" thickBot="1">
      <c r="C36" t="s">
        <v>185</v>
      </c>
      <c r="E36" s="17">
        <v>25000</v>
      </c>
    </row>
    <row r="37" spans="2:5" ht="15" thickTop="1">
      <c r="E37" s="14"/>
    </row>
    <row r="38" spans="2:5" ht="19.5" customHeight="1">
      <c r="B38" s="94" t="s">
        <v>32</v>
      </c>
      <c r="C38" s="94"/>
      <c r="D38" s="94"/>
    </row>
    <row r="39" spans="2:5" ht="15" customHeight="1">
      <c r="B39" s="20"/>
      <c r="C39" s="21"/>
      <c r="D39" s="20"/>
      <c r="E39" s="20" t="s">
        <v>16</v>
      </c>
    </row>
    <row r="40" spans="2:5" ht="15" customHeight="1">
      <c r="B40">
        <v>1</v>
      </c>
      <c r="C40" t="s">
        <v>187</v>
      </c>
      <c r="D40" s="12"/>
      <c r="E40" s="12">
        <v>125000</v>
      </c>
    </row>
    <row r="41" spans="2:5" ht="15" customHeight="1">
      <c r="B41">
        <v>2</v>
      </c>
      <c r="C41" t="s">
        <v>188</v>
      </c>
      <c r="D41" s="12"/>
      <c r="E41" s="12">
        <v>200000</v>
      </c>
    </row>
    <row r="42" spans="2:5">
      <c r="B42">
        <v>3</v>
      </c>
      <c r="C42" t="s">
        <v>85</v>
      </c>
      <c r="D42" s="12"/>
      <c r="E42" s="12">
        <v>72000</v>
      </c>
    </row>
    <row r="43" spans="2:5">
      <c r="B43">
        <v>4</v>
      </c>
      <c r="C43" t="s">
        <v>86</v>
      </c>
      <c r="D43" s="12"/>
      <c r="E43" s="12">
        <f>D9*10%*12*2</f>
        <v>192000</v>
      </c>
    </row>
    <row r="44" spans="2:5">
      <c r="B44">
        <v>5</v>
      </c>
      <c r="C44" t="s">
        <v>87</v>
      </c>
      <c r="D44" s="12"/>
      <c r="E44" s="12">
        <v>25000</v>
      </c>
    </row>
    <row r="45" spans="2:5">
      <c r="B45">
        <v>6</v>
      </c>
      <c r="C45" t="s">
        <v>189</v>
      </c>
      <c r="E45" s="82">
        <v>50000</v>
      </c>
    </row>
    <row r="46" spans="2:5" ht="15" thickBot="1">
      <c r="E46" s="50">
        <f>SUM(E40:E45)</f>
        <v>664000</v>
      </c>
    </row>
    <row r="47" spans="2:5" ht="15" thickTop="1"/>
    <row r="49" spans="2:7" ht="15">
      <c r="C49" s="22" t="s">
        <v>33</v>
      </c>
    </row>
    <row r="50" spans="2:7" ht="15">
      <c r="C50" s="22" t="s">
        <v>178</v>
      </c>
    </row>
    <row r="51" spans="2:7" ht="15">
      <c r="C51" s="22" t="s">
        <v>184</v>
      </c>
    </row>
    <row r="53" spans="2:7" ht="15.75" thickBot="1">
      <c r="B53" s="13" t="s">
        <v>36</v>
      </c>
      <c r="C53" s="23" t="s">
        <v>37</v>
      </c>
      <c r="E53" s="24">
        <f>E21+E27+E34+E36</f>
        <v>2051000</v>
      </c>
    </row>
    <row r="54" spans="2:7" ht="15.75" thickTop="1">
      <c r="B54" s="13"/>
    </row>
    <row r="55" spans="2:7" ht="15">
      <c r="B55" s="13" t="s">
        <v>18</v>
      </c>
    </row>
    <row r="56" spans="2:7" ht="19.5">
      <c r="C56" s="25" t="s">
        <v>38</v>
      </c>
      <c r="D56" s="26" t="s">
        <v>39</v>
      </c>
      <c r="E56" s="26" t="s">
        <v>40</v>
      </c>
      <c r="F56" s="1"/>
      <c r="G56" s="26"/>
    </row>
    <row r="57" spans="2:7" ht="19.5">
      <c r="C57" s="25"/>
      <c r="D57" s="26" t="s">
        <v>54</v>
      </c>
      <c r="E57" s="26" t="s">
        <v>55</v>
      </c>
      <c r="F57" s="1"/>
      <c r="G57" s="26"/>
    </row>
    <row r="58" spans="2:7" ht="17.25">
      <c r="C58" s="27" t="s">
        <v>43</v>
      </c>
      <c r="D58" s="29">
        <v>400000</v>
      </c>
      <c r="E58" s="28" t="s">
        <v>42</v>
      </c>
      <c r="F58" s="33"/>
      <c r="G58" s="28"/>
    </row>
    <row r="59" spans="2:7" ht="17.25">
      <c r="C59" s="27" t="s">
        <v>44</v>
      </c>
      <c r="D59" s="29">
        <v>100000</v>
      </c>
      <c r="E59" s="30">
        <f>D59*5%</f>
        <v>5000</v>
      </c>
      <c r="F59" s="33"/>
      <c r="G59" s="30"/>
    </row>
    <row r="60" spans="2:7" ht="17.25">
      <c r="C60" s="27" t="s">
        <v>45</v>
      </c>
      <c r="D60" s="29">
        <v>400000</v>
      </c>
      <c r="E60" s="30">
        <f>D60*10%</f>
        <v>40000</v>
      </c>
      <c r="F60" s="33"/>
      <c r="G60" s="30"/>
    </row>
    <row r="61" spans="2:7" ht="17.25">
      <c r="C61" s="27" t="s">
        <v>46</v>
      </c>
      <c r="D61" s="29">
        <v>500000</v>
      </c>
      <c r="E61" s="30">
        <f>D61*15%</f>
        <v>75000</v>
      </c>
      <c r="F61" s="33"/>
      <c r="G61" s="30"/>
    </row>
    <row r="62" spans="2:7" ht="17.25">
      <c r="C62" s="27" t="s">
        <v>47</v>
      </c>
      <c r="D62" s="29">
        <v>500000</v>
      </c>
      <c r="E62" s="30">
        <f>D62*20%</f>
        <v>100000</v>
      </c>
      <c r="F62" s="33"/>
      <c r="G62" s="30"/>
    </row>
    <row r="63" spans="2:7" ht="18" thickBot="1">
      <c r="C63" s="27" t="s">
        <v>48</v>
      </c>
      <c r="D63" s="29">
        <v>151000</v>
      </c>
      <c r="E63" s="30">
        <f>D63*25%</f>
        <v>37750</v>
      </c>
      <c r="F63" s="33"/>
      <c r="G63" s="1"/>
    </row>
    <row r="64" spans="2:7" ht="18" thickBot="1">
      <c r="C64" s="31"/>
      <c r="D64" s="35">
        <f>SUM(D58:D63)</f>
        <v>2051000</v>
      </c>
      <c r="E64" s="35">
        <f>SUM(E58:E63)</f>
        <v>257750</v>
      </c>
      <c r="F64" s="1"/>
      <c r="G64" s="34"/>
    </row>
    <row r="65" spans="2:5" ht="15" thickTop="1"/>
    <row r="68" spans="2:5" s="9" customFormat="1" ht="15.75" customHeight="1">
      <c r="B68" s="93"/>
      <c r="C68" s="93"/>
      <c r="D68" s="93"/>
    </row>
    <row r="69" spans="2:5" ht="19.5">
      <c r="B69" s="39" t="s">
        <v>59</v>
      </c>
      <c r="C69" s="25" t="s">
        <v>49</v>
      </c>
      <c r="D69" s="1"/>
    </row>
    <row r="70" spans="2:5" ht="19.5">
      <c r="B70" s="38" t="s">
        <v>56</v>
      </c>
      <c r="C70" s="36" t="s">
        <v>50</v>
      </c>
      <c r="D70" s="28" t="s">
        <v>41</v>
      </c>
      <c r="E70" s="30">
        <f>E53*3%</f>
        <v>61530</v>
      </c>
    </row>
    <row r="71" spans="2:5" ht="19.5">
      <c r="B71" s="38" t="s">
        <v>57</v>
      </c>
      <c r="C71" s="36" t="s">
        <v>51</v>
      </c>
      <c r="D71" s="28" t="s">
        <v>41</v>
      </c>
      <c r="E71" s="30">
        <f>E46*15%</f>
        <v>99600</v>
      </c>
    </row>
    <row r="72" spans="2:5" ht="19.5">
      <c r="B72" s="38" t="s">
        <v>58</v>
      </c>
      <c r="C72" s="36" t="s">
        <v>52</v>
      </c>
      <c r="D72" s="28" t="s">
        <v>41</v>
      </c>
      <c r="E72" s="30">
        <v>1000000</v>
      </c>
    </row>
    <row r="73" spans="2:5" ht="19.5">
      <c r="C73" s="36" t="s">
        <v>53</v>
      </c>
      <c r="D73" s="32" t="s">
        <v>54</v>
      </c>
      <c r="E73" s="37">
        <v>61530</v>
      </c>
    </row>
    <row r="74" spans="2:5">
      <c r="D74" s="12"/>
    </row>
    <row r="75" spans="2:5">
      <c r="D75" s="12"/>
    </row>
    <row r="76" spans="2:5" ht="17.25">
      <c r="B76" s="40" t="s">
        <v>60</v>
      </c>
      <c r="C76" s="41" t="s">
        <v>61</v>
      </c>
      <c r="D76" s="12"/>
      <c r="E76" s="37">
        <f>E64-E73</f>
        <v>196220</v>
      </c>
    </row>
    <row r="77" spans="2:5" ht="15">
      <c r="B77" s="1"/>
      <c r="C77" s="1"/>
      <c r="D77" s="12"/>
    </row>
    <row r="78" spans="2:5" ht="17.25">
      <c r="B78" s="40" t="s">
        <v>62</v>
      </c>
      <c r="C78" s="41" t="s">
        <v>63</v>
      </c>
      <c r="D78" s="12"/>
    </row>
    <row r="79" spans="2:5" ht="19.5">
      <c r="B79" s="38" t="s">
        <v>56</v>
      </c>
      <c r="C79" s="21" t="s">
        <v>64</v>
      </c>
      <c r="D79" s="12" t="s">
        <v>54</v>
      </c>
      <c r="E79" s="44">
        <v>5000</v>
      </c>
    </row>
    <row r="80" spans="2:5" ht="19.5">
      <c r="B80" s="38" t="s">
        <v>57</v>
      </c>
      <c r="C80" s="21" t="s">
        <v>65</v>
      </c>
      <c r="D80" s="12"/>
      <c r="E80" s="45">
        <v>0</v>
      </c>
    </row>
    <row r="81" spans="2:5" ht="19.5">
      <c r="B81" s="38" t="s">
        <v>58</v>
      </c>
      <c r="C81" s="21" t="s">
        <v>66</v>
      </c>
      <c r="D81" s="10"/>
      <c r="E81" s="45">
        <v>0</v>
      </c>
    </row>
    <row r="82" spans="2:5" ht="19.5">
      <c r="B82" s="1"/>
      <c r="C82" s="36" t="s">
        <v>67</v>
      </c>
      <c r="E82" s="42"/>
    </row>
    <row r="83" spans="2:5">
      <c r="E83" s="42"/>
    </row>
    <row r="85" spans="2:5" ht="18" thickBot="1">
      <c r="B85" s="13" t="s">
        <v>19</v>
      </c>
      <c r="C85" s="43" t="s">
        <v>68</v>
      </c>
      <c r="E85" s="46">
        <v>196220</v>
      </c>
    </row>
    <row r="86" spans="2:5" ht="15" thickTop="1"/>
    <row r="87" spans="2:5" ht="15">
      <c r="B87" s="13" t="s">
        <v>91</v>
      </c>
      <c r="C87" s="13" t="s">
        <v>92</v>
      </c>
    </row>
    <row r="88" spans="2:5" ht="17.25">
      <c r="C88" t="s">
        <v>190</v>
      </c>
      <c r="D88" s="30">
        <v>84000</v>
      </c>
    </row>
    <row r="89" spans="2:5" ht="19.5">
      <c r="C89" s="36" t="s">
        <v>93</v>
      </c>
      <c r="D89" s="30"/>
    </row>
    <row r="90" spans="2:5" ht="19.5">
      <c r="C90" s="36" t="s">
        <v>192</v>
      </c>
      <c r="D90" s="30">
        <f>125000*5%</f>
        <v>6250</v>
      </c>
    </row>
    <row r="91" spans="2:5" ht="17.25">
      <c r="C91" t="s">
        <v>191</v>
      </c>
      <c r="D91" s="44">
        <v>6000</v>
      </c>
    </row>
    <row r="92" spans="2:5">
      <c r="E92" s="53"/>
    </row>
    <row r="93" spans="2:5" ht="15" thickBot="1">
      <c r="E93" s="52">
        <f>SUM(D88:D91)</f>
        <v>96250</v>
      </c>
    </row>
    <row r="94" spans="2:5" ht="15" thickTop="1"/>
    <row r="96" spans="2:5" ht="18" thickBot="1">
      <c r="B96" t="s">
        <v>95</v>
      </c>
      <c r="C96" s="3" t="s">
        <v>96</v>
      </c>
      <c r="D96" t="s">
        <v>54</v>
      </c>
      <c r="E96" s="51">
        <f>E85-E93</f>
        <v>99970</v>
      </c>
    </row>
    <row r="97" ht="15" thickTop="1"/>
  </sheetData>
  <mergeCells count="5">
    <mergeCell ref="B5:E5"/>
    <mergeCell ref="B6:E6"/>
    <mergeCell ref="B7:E7"/>
    <mergeCell ref="B38:D38"/>
    <mergeCell ref="B68:D68"/>
  </mergeCells>
  <pageMargins left="0.7" right="0.7" top="0.75" bottom="0.75" header="0.3" footer="0.3"/>
  <pageSetup scale="86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A3C86-E6FD-4757-9C51-C0EA7DD83186}">
  <dimension ref="A2:D21"/>
  <sheetViews>
    <sheetView view="pageBreakPreview" zoomScale="60" zoomScaleNormal="100" workbookViewId="0">
      <selection activeCell="D19" sqref="D19"/>
    </sheetView>
  </sheetViews>
  <sheetFormatPr defaultRowHeight="14.25"/>
  <cols>
    <col min="2" max="2" width="35.875" customWidth="1"/>
    <col min="3" max="3" width="15.25" customWidth="1"/>
    <col min="4" max="4" width="17.875" customWidth="1"/>
  </cols>
  <sheetData>
    <row r="2" spans="1:4" ht="15.75">
      <c r="A2">
        <v>2</v>
      </c>
      <c r="B2" s="74" t="s">
        <v>194</v>
      </c>
    </row>
    <row r="4" spans="1:4" ht="15.75">
      <c r="B4" s="95"/>
      <c r="C4" s="96"/>
      <c r="D4" s="97"/>
    </row>
    <row r="5" spans="1:4" ht="15.75">
      <c r="B5" s="98" t="s">
        <v>115</v>
      </c>
      <c r="C5" s="99"/>
      <c r="D5" s="100"/>
    </row>
    <row r="6" spans="1:4" ht="15">
      <c r="B6" s="63" t="s">
        <v>116</v>
      </c>
      <c r="C6" s="64"/>
      <c r="D6" s="65"/>
    </row>
    <row r="7" spans="1:4" ht="15">
      <c r="B7" s="62"/>
      <c r="C7" s="62" t="s">
        <v>195</v>
      </c>
      <c r="D7" s="62" t="s">
        <v>3</v>
      </c>
    </row>
    <row r="8" spans="1:4" ht="18.75" customHeight="1">
      <c r="B8" s="61" t="s">
        <v>117</v>
      </c>
      <c r="C8" s="67">
        <v>50000</v>
      </c>
      <c r="D8" s="67">
        <f>C8*12</f>
        <v>600000</v>
      </c>
    </row>
    <row r="9" spans="1:4" ht="15">
      <c r="B9" s="62" t="s">
        <v>118</v>
      </c>
      <c r="C9" s="61"/>
      <c r="D9" s="67">
        <v>480000</v>
      </c>
    </row>
    <row r="10" spans="1:4" ht="16.5" thickBot="1">
      <c r="B10" s="69" t="s">
        <v>119</v>
      </c>
      <c r="C10" s="69"/>
      <c r="D10" s="72">
        <v>600000</v>
      </c>
    </row>
    <row r="11" spans="1:4" ht="15.75" thickTop="1">
      <c r="B11" s="62" t="s">
        <v>120</v>
      </c>
      <c r="C11" s="62"/>
      <c r="D11" s="61"/>
    </row>
    <row r="12" spans="1:4" ht="15">
      <c r="B12" s="62" t="s">
        <v>121</v>
      </c>
      <c r="C12" s="62" t="s">
        <v>198</v>
      </c>
      <c r="D12" s="68">
        <f>D10*30%</f>
        <v>180000</v>
      </c>
    </row>
    <row r="13" spans="1:4" ht="15">
      <c r="B13" s="62" t="s">
        <v>196</v>
      </c>
      <c r="C13" s="62"/>
      <c r="D13" s="68">
        <v>22500</v>
      </c>
    </row>
    <row r="14" spans="1:4" ht="15">
      <c r="B14" s="62" t="s">
        <v>127</v>
      </c>
      <c r="C14" s="62"/>
      <c r="D14" s="68">
        <f>C8*1</f>
        <v>50000</v>
      </c>
    </row>
    <row r="15" spans="1:4" ht="15">
      <c r="B15" s="62" t="s">
        <v>197</v>
      </c>
      <c r="C15" s="62"/>
      <c r="D15" s="83">
        <v>62500</v>
      </c>
    </row>
    <row r="16" spans="1:4" ht="15">
      <c r="B16" s="62"/>
      <c r="C16" s="62"/>
      <c r="D16" s="83"/>
    </row>
    <row r="17" spans="2:4" ht="15.75" thickBot="1">
      <c r="B17" s="62"/>
      <c r="C17" s="62"/>
      <c r="D17" s="71">
        <f>SUM(D12:D16)</f>
        <v>315000</v>
      </c>
    </row>
    <row r="18" spans="2:4" ht="15.75" thickTop="1">
      <c r="B18" s="62" t="s">
        <v>25</v>
      </c>
      <c r="C18" s="62"/>
      <c r="D18" s="70">
        <f>D10-D17</f>
        <v>285000</v>
      </c>
    </row>
    <row r="19" spans="2:4" ht="15">
      <c r="B19" s="62" t="s">
        <v>122</v>
      </c>
      <c r="C19" s="62"/>
      <c r="D19" s="66">
        <v>0</v>
      </c>
    </row>
    <row r="20" spans="2:4" ht="15" thickBot="1">
      <c r="B20" s="4" t="s">
        <v>30</v>
      </c>
      <c r="C20" s="4"/>
      <c r="D20" s="73">
        <f>D10-D17</f>
        <v>285000</v>
      </c>
    </row>
    <row r="21" spans="2:4" ht="15" thickTop="1"/>
  </sheetData>
  <mergeCells count="2">
    <mergeCell ref="B4:D4"/>
    <mergeCell ref="B5:D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8F9B3-32EE-451D-B453-3582FB312EF6}">
  <dimension ref="A1"/>
  <sheetViews>
    <sheetView workbookViewId="0"/>
  </sheetViews>
  <sheetFormatPr defaultRowHeight="14.25"/>
  <sheetData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098F8-9504-4DB7-B957-DED09AFE8195}">
  <dimension ref="B2:G102"/>
  <sheetViews>
    <sheetView view="pageBreakPreview" topLeftCell="A58" zoomScale="60" zoomScaleNormal="100" workbookViewId="0">
      <selection activeCell="N17" sqref="N17"/>
    </sheetView>
  </sheetViews>
  <sheetFormatPr defaultRowHeight="14.25"/>
  <cols>
    <col min="1" max="1" width="2" customWidth="1"/>
    <col min="2" max="2" width="10" customWidth="1"/>
    <col min="3" max="3" width="46.875" customWidth="1"/>
    <col min="4" max="4" width="20.75" customWidth="1"/>
    <col min="5" max="5" width="16.25" customWidth="1"/>
  </cols>
  <sheetData>
    <row r="2" spans="2:5" ht="18">
      <c r="B2" s="47" t="s">
        <v>70</v>
      </c>
      <c r="C2" s="48" t="s">
        <v>223</v>
      </c>
    </row>
    <row r="4" spans="2:5" ht="15">
      <c r="B4" s="2"/>
    </row>
    <row r="5" spans="2:5" ht="15" customHeight="1">
      <c r="B5" s="92" t="s">
        <v>224</v>
      </c>
      <c r="C5" s="92"/>
      <c r="D5" s="92"/>
      <c r="E5" s="92"/>
    </row>
    <row r="6" spans="2:5" ht="15" customHeight="1">
      <c r="B6" s="92" t="s">
        <v>0</v>
      </c>
      <c r="C6" s="92"/>
      <c r="D6" s="92"/>
      <c r="E6" s="92"/>
    </row>
    <row r="7" spans="2:5" ht="15" customHeight="1">
      <c r="B7" s="92" t="s">
        <v>226</v>
      </c>
      <c r="C7" s="92"/>
      <c r="D7" s="92"/>
      <c r="E7" s="92"/>
    </row>
    <row r="8" spans="2:5" ht="15">
      <c r="B8" s="6" t="s">
        <v>8</v>
      </c>
      <c r="C8" s="6" t="s">
        <v>1</v>
      </c>
      <c r="D8" s="6" t="s">
        <v>2</v>
      </c>
      <c r="E8" s="6" t="s">
        <v>3</v>
      </c>
    </row>
    <row r="9" spans="2:5">
      <c r="B9" s="4"/>
      <c r="C9" s="4" t="s">
        <v>4</v>
      </c>
      <c r="D9" s="7">
        <v>80000</v>
      </c>
      <c r="E9" s="7">
        <f>D9*12</f>
        <v>960000</v>
      </c>
    </row>
    <row r="10" spans="2:5">
      <c r="B10" s="4"/>
      <c r="C10" s="4" t="s">
        <v>227</v>
      </c>
      <c r="D10" s="7"/>
      <c r="E10" s="7">
        <f>D9*60%*12</f>
        <v>576000</v>
      </c>
    </row>
    <row r="11" spans="2:5">
      <c r="B11" s="4"/>
      <c r="C11" s="4" t="s">
        <v>228</v>
      </c>
      <c r="D11" s="7"/>
      <c r="E11" s="7">
        <f>D9*10%*12</f>
        <v>96000</v>
      </c>
    </row>
    <row r="12" spans="2:5">
      <c r="B12" s="4"/>
      <c r="C12" s="4" t="s">
        <v>230</v>
      </c>
      <c r="D12" s="7"/>
      <c r="E12" s="7">
        <f>D9*15%*12</f>
        <v>144000</v>
      </c>
    </row>
    <row r="13" spans="2:5">
      <c r="B13" s="4"/>
      <c r="C13" s="4" t="s">
        <v>75</v>
      </c>
      <c r="D13" s="7">
        <v>10000</v>
      </c>
      <c r="E13" s="7">
        <f>D13*12</f>
        <v>120000</v>
      </c>
    </row>
    <row r="14" spans="2:5">
      <c r="B14" s="4"/>
      <c r="C14" s="4" t="s">
        <v>229</v>
      </c>
      <c r="D14" s="7"/>
      <c r="E14" s="7">
        <f>D9*5%*12</f>
        <v>48000</v>
      </c>
    </row>
    <row r="15" spans="2:5">
      <c r="B15" s="4"/>
      <c r="C15" s="4" t="s">
        <v>231</v>
      </c>
      <c r="D15" s="7"/>
      <c r="E15" s="7">
        <f>D9*2</f>
        <v>160000</v>
      </c>
    </row>
    <row r="16" spans="2:5">
      <c r="B16" s="4"/>
      <c r="C16" s="4" t="s">
        <v>77</v>
      </c>
      <c r="D16" s="7" t="s">
        <v>182</v>
      </c>
      <c r="E16" s="7">
        <f>D9*10%*12</f>
        <v>96000</v>
      </c>
    </row>
    <row r="17" spans="2:5">
      <c r="B17" s="4"/>
      <c r="C17" s="4" t="s">
        <v>232</v>
      </c>
      <c r="D17" s="7"/>
      <c r="E17" s="7">
        <v>100000</v>
      </c>
    </row>
    <row r="18" spans="2:5">
      <c r="B18" s="4"/>
      <c r="C18" s="4"/>
      <c r="D18" s="7"/>
      <c r="E18" s="7"/>
    </row>
    <row r="19" spans="2:5" ht="15">
      <c r="B19" s="4"/>
      <c r="C19" s="6" t="s">
        <v>6</v>
      </c>
      <c r="D19" s="8"/>
      <c r="E19" s="8">
        <f>SUM(E9:E18)</f>
        <v>2300000</v>
      </c>
    </row>
    <row r="20" spans="2:5" ht="17.25">
      <c r="B20" s="4"/>
      <c r="C20" s="6" t="s">
        <v>11</v>
      </c>
      <c r="D20" s="8"/>
      <c r="E20" s="8">
        <v>450000</v>
      </c>
    </row>
    <row r="21" spans="2:5" ht="15.75" thickBot="1">
      <c r="B21" s="6" t="s">
        <v>17</v>
      </c>
      <c r="C21" s="6" t="s">
        <v>7</v>
      </c>
      <c r="D21" s="8"/>
      <c r="E21" s="19">
        <f>E19-E20</f>
        <v>1850000</v>
      </c>
    </row>
    <row r="22" spans="2:5" ht="20.25" thickTop="1">
      <c r="B22" s="5"/>
      <c r="C22" s="4"/>
      <c r="D22" s="7"/>
      <c r="E22" s="18"/>
    </row>
    <row r="24" spans="2:5" ht="17.25">
      <c r="B24" s="13" t="s">
        <v>18</v>
      </c>
      <c r="C24" s="3" t="s">
        <v>20</v>
      </c>
    </row>
    <row r="25" spans="2:5">
      <c r="B25" s="11"/>
      <c r="C25" t="s">
        <v>22</v>
      </c>
      <c r="D25" s="12">
        <v>50000</v>
      </c>
      <c r="E25" s="12">
        <f>D25*12</f>
        <v>600000</v>
      </c>
    </row>
    <row r="26" spans="2:5">
      <c r="B26" s="11" t="s">
        <v>21</v>
      </c>
      <c r="C26" t="s">
        <v>217</v>
      </c>
      <c r="D26" s="12" t="s">
        <v>235</v>
      </c>
      <c r="E26" s="12">
        <f>E25*25%</f>
        <v>150000</v>
      </c>
    </row>
    <row r="27" spans="2:5">
      <c r="B27" s="11"/>
      <c r="C27" t="s">
        <v>233</v>
      </c>
      <c r="D27" s="12"/>
      <c r="E27" s="12">
        <f>3500*4</f>
        <v>14000</v>
      </c>
    </row>
    <row r="28" spans="2:5">
      <c r="B28" s="11"/>
      <c r="C28" t="s">
        <v>234</v>
      </c>
      <c r="D28" s="12"/>
      <c r="E28" s="12">
        <v>100000</v>
      </c>
    </row>
    <row r="29" spans="2:5">
      <c r="B29" s="87"/>
      <c r="C29" s="59"/>
      <c r="D29" s="60"/>
      <c r="E29" s="60"/>
    </row>
    <row r="30" spans="2:5" ht="15.75" thickBot="1">
      <c r="B30" s="11"/>
      <c r="D30" s="12"/>
      <c r="E30" s="86">
        <f>E25-E26-E27-E28</f>
        <v>336000</v>
      </c>
    </row>
    <row r="31" spans="2:5" ht="15" thickTop="1">
      <c r="E31" s="12"/>
    </row>
    <row r="32" spans="2:5" ht="17.25">
      <c r="B32" s="13" t="s">
        <v>59</v>
      </c>
      <c r="C32" s="3" t="s">
        <v>78</v>
      </c>
      <c r="E32" s="14"/>
    </row>
    <row r="33" spans="2:5" ht="15">
      <c r="B33" s="13"/>
      <c r="C33" s="59" t="s">
        <v>236</v>
      </c>
      <c r="D33" s="59" t="s">
        <v>82</v>
      </c>
      <c r="E33" s="77">
        <f>90000*100/90</f>
        <v>100000</v>
      </c>
    </row>
    <row r="34" spans="2:5" ht="15">
      <c r="B34" s="13"/>
      <c r="C34" s="59" t="s">
        <v>237</v>
      </c>
      <c r="D34" s="59" t="s">
        <v>238</v>
      </c>
      <c r="E34" s="77">
        <f>36000*100/90</f>
        <v>40000</v>
      </c>
    </row>
    <row r="35" spans="2:5" ht="15">
      <c r="B35" s="13"/>
      <c r="C35" t="s">
        <v>240</v>
      </c>
      <c r="E35" s="14">
        <v>150000</v>
      </c>
    </row>
    <row r="36" spans="2:5">
      <c r="E36" s="14"/>
    </row>
    <row r="37" spans="2:5">
      <c r="E37" s="14"/>
    </row>
    <row r="38" spans="2:5" ht="20.25" thickBot="1">
      <c r="B38" s="13"/>
      <c r="C38" s="16" t="s">
        <v>83</v>
      </c>
      <c r="E38" s="84">
        <f>E35+E36+E33</f>
        <v>250000</v>
      </c>
    </row>
    <row r="39" spans="2:5" ht="15" thickTop="1">
      <c r="E39" s="14"/>
    </row>
    <row r="40" spans="2:5" ht="17.25">
      <c r="B40" t="s">
        <v>60</v>
      </c>
      <c r="C40" s="3" t="s">
        <v>183</v>
      </c>
      <c r="E40" s="14"/>
    </row>
    <row r="41" spans="2:5" ht="15.75" thickBot="1">
      <c r="B41" s="59"/>
      <c r="C41" s="59" t="s">
        <v>210</v>
      </c>
      <c r="D41" s="59"/>
      <c r="E41" s="89">
        <v>200000</v>
      </c>
    </row>
    <row r="42" spans="2:5" ht="15" thickTop="1">
      <c r="E42" s="14"/>
    </row>
    <row r="43" spans="2:5">
      <c r="E43" s="14"/>
    </row>
    <row r="44" spans="2:5">
      <c r="E44" s="14"/>
    </row>
    <row r="45" spans="2:5" ht="19.5" customHeight="1">
      <c r="B45" s="94" t="s">
        <v>32</v>
      </c>
      <c r="C45" s="94"/>
      <c r="D45" s="94"/>
    </row>
    <row r="46" spans="2:5" ht="15" customHeight="1">
      <c r="B46" s="20"/>
      <c r="C46" s="21"/>
      <c r="D46" s="20"/>
      <c r="E46" s="20" t="s">
        <v>16</v>
      </c>
    </row>
    <row r="47" spans="2:5" ht="15" customHeight="1">
      <c r="B47">
        <v>1</v>
      </c>
      <c r="C47" t="s">
        <v>187</v>
      </c>
      <c r="D47" s="12"/>
      <c r="E47" s="12">
        <v>200000</v>
      </c>
    </row>
    <row r="48" spans="2:5">
      <c r="B48">
        <v>2</v>
      </c>
      <c r="C48" t="s">
        <v>85</v>
      </c>
      <c r="D48" s="12" t="s">
        <v>239</v>
      </c>
      <c r="E48" s="12">
        <f>10000*12</f>
        <v>120000</v>
      </c>
    </row>
    <row r="49" spans="2:7">
      <c r="B49">
        <v>3</v>
      </c>
      <c r="C49" t="s">
        <v>86</v>
      </c>
      <c r="D49" s="12"/>
      <c r="E49" s="12">
        <f>D9*10%*12*2</f>
        <v>192000</v>
      </c>
    </row>
    <row r="50" spans="2:7">
      <c r="B50">
        <v>4</v>
      </c>
      <c r="C50" t="s">
        <v>87</v>
      </c>
      <c r="D50" s="12"/>
      <c r="E50" s="12">
        <v>50000</v>
      </c>
    </row>
    <row r="52" spans="2:7" ht="15" thickBot="1">
      <c r="E52" s="50">
        <f>SUM(E47:E50)</f>
        <v>562000</v>
      </c>
    </row>
    <row r="53" spans="2:7" ht="15" thickTop="1"/>
    <row r="55" spans="2:7" ht="15">
      <c r="C55" s="22" t="s">
        <v>33</v>
      </c>
    </row>
    <row r="56" spans="2:7" ht="15">
      <c r="C56" s="22" t="s">
        <v>225</v>
      </c>
    </row>
    <row r="57" spans="2:7" ht="15">
      <c r="C57" s="22" t="s">
        <v>184</v>
      </c>
    </row>
    <row r="59" spans="2:7" ht="15.75" thickBot="1">
      <c r="B59" s="13" t="s">
        <v>36</v>
      </c>
      <c r="C59" s="23" t="s">
        <v>37</v>
      </c>
      <c r="E59" s="24">
        <f>E21+E30+E38+E41</f>
        <v>2636000</v>
      </c>
    </row>
    <row r="60" spans="2:7" ht="15.75" thickTop="1">
      <c r="B60" s="13"/>
    </row>
    <row r="61" spans="2:7" ht="15">
      <c r="B61" s="13" t="s">
        <v>18</v>
      </c>
    </row>
    <row r="62" spans="2:7" ht="19.5">
      <c r="C62" s="25" t="s">
        <v>38</v>
      </c>
      <c r="D62" s="26" t="s">
        <v>39</v>
      </c>
      <c r="E62" s="26" t="s">
        <v>40</v>
      </c>
      <c r="F62" s="1"/>
      <c r="G62" s="26"/>
    </row>
    <row r="63" spans="2:7" ht="19.5">
      <c r="C63" s="25"/>
      <c r="D63" s="26" t="s">
        <v>54</v>
      </c>
      <c r="E63" s="26" t="s">
        <v>55</v>
      </c>
      <c r="F63" s="1"/>
      <c r="G63" s="26"/>
    </row>
    <row r="64" spans="2:7" ht="17.25">
      <c r="C64" s="27" t="s">
        <v>43</v>
      </c>
      <c r="D64" s="29">
        <v>350000</v>
      </c>
      <c r="E64" s="28" t="s">
        <v>42</v>
      </c>
      <c r="F64" s="33"/>
      <c r="G64" s="28"/>
    </row>
    <row r="65" spans="2:7" ht="17.25">
      <c r="C65" s="27" t="s">
        <v>44</v>
      </c>
      <c r="D65" s="29">
        <v>100000</v>
      </c>
      <c r="E65" s="30">
        <f>D65*5%</f>
        <v>5000</v>
      </c>
      <c r="F65" s="33"/>
      <c r="G65" s="30"/>
    </row>
    <row r="66" spans="2:7" ht="17.25">
      <c r="C66" s="27" t="s">
        <v>45</v>
      </c>
      <c r="D66" s="29">
        <v>400000</v>
      </c>
      <c r="E66" s="30">
        <f>D66*10%</f>
        <v>40000</v>
      </c>
      <c r="F66" s="33"/>
      <c r="G66" s="30"/>
    </row>
    <row r="67" spans="2:7" ht="17.25">
      <c r="C67" s="27" t="s">
        <v>46</v>
      </c>
      <c r="D67" s="29">
        <v>500000</v>
      </c>
      <c r="E67" s="30">
        <f>D67*15%</f>
        <v>75000</v>
      </c>
      <c r="F67" s="33"/>
      <c r="G67" s="30"/>
    </row>
    <row r="68" spans="2:7" ht="17.25">
      <c r="C68" s="27" t="s">
        <v>47</v>
      </c>
      <c r="D68" s="29">
        <v>500000</v>
      </c>
      <c r="E68" s="30">
        <f>D68*20%</f>
        <v>100000</v>
      </c>
      <c r="F68" s="33"/>
      <c r="G68" s="30"/>
    </row>
    <row r="69" spans="2:7" ht="18" thickBot="1">
      <c r="C69" s="27" t="s">
        <v>48</v>
      </c>
      <c r="D69" s="29">
        <v>786000</v>
      </c>
      <c r="E69" s="30">
        <f>D69*25%</f>
        <v>196500</v>
      </c>
      <c r="F69" s="33"/>
      <c r="G69" s="1"/>
    </row>
    <row r="70" spans="2:7" ht="18" thickBot="1">
      <c r="C70" s="31"/>
      <c r="D70" s="35">
        <f>SUM(D64:D69)</f>
        <v>2636000</v>
      </c>
      <c r="E70" s="35">
        <f>SUM(E64:E69)</f>
        <v>416500</v>
      </c>
      <c r="F70" s="1"/>
      <c r="G70" s="34"/>
    </row>
    <row r="71" spans="2:7" ht="15" thickTop="1"/>
    <row r="74" spans="2:7" s="9" customFormat="1" ht="15.75" customHeight="1">
      <c r="B74" s="93"/>
      <c r="C74" s="93"/>
      <c r="D74" s="93"/>
    </row>
    <row r="75" spans="2:7" ht="19.5">
      <c r="B75" s="39" t="s">
        <v>59</v>
      </c>
      <c r="C75" s="25" t="s">
        <v>49</v>
      </c>
      <c r="D75" s="1"/>
    </row>
    <row r="76" spans="2:7" ht="19.5">
      <c r="B76" s="38" t="s">
        <v>56</v>
      </c>
      <c r="C76" s="36" t="s">
        <v>50</v>
      </c>
      <c r="D76" s="28" t="s">
        <v>41</v>
      </c>
      <c r="E76" s="30">
        <f>E59*3%</f>
        <v>79080</v>
      </c>
    </row>
    <row r="77" spans="2:7" ht="19.5">
      <c r="B77" s="38" t="s">
        <v>57</v>
      </c>
      <c r="C77" s="36" t="s">
        <v>51</v>
      </c>
      <c r="D77" s="28" t="s">
        <v>41</v>
      </c>
      <c r="E77" s="30">
        <f>E52*15%</f>
        <v>84300</v>
      </c>
    </row>
    <row r="78" spans="2:7" ht="19.5">
      <c r="B78" s="38" t="s">
        <v>58</v>
      </c>
      <c r="C78" s="36" t="s">
        <v>52</v>
      </c>
      <c r="D78" s="28" t="s">
        <v>41</v>
      </c>
      <c r="E78" s="30">
        <v>1000000</v>
      </c>
    </row>
    <row r="79" spans="2:7" ht="19.5">
      <c r="C79" s="36" t="s">
        <v>53</v>
      </c>
      <c r="D79" s="32" t="s">
        <v>54</v>
      </c>
      <c r="E79" s="37">
        <v>79080</v>
      </c>
    </row>
    <row r="80" spans="2:7">
      <c r="D80" s="12"/>
    </row>
    <row r="81" spans="2:5">
      <c r="D81" s="12"/>
    </row>
    <row r="82" spans="2:5" ht="17.25">
      <c r="B82" s="40" t="s">
        <v>60</v>
      </c>
      <c r="C82" s="41" t="s">
        <v>61</v>
      </c>
      <c r="D82" s="12"/>
      <c r="E82" s="37">
        <f>E70-E79</f>
        <v>337420</v>
      </c>
    </row>
    <row r="83" spans="2:5" ht="15">
      <c r="B83" s="1"/>
      <c r="C83" s="1"/>
      <c r="D83" s="12"/>
    </row>
    <row r="84" spans="2:5" ht="17.25">
      <c r="B84" s="40" t="s">
        <v>62</v>
      </c>
      <c r="C84" s="41" t="s">
        <v>63</v>
      </c>
      <c r="D84" s="12"/>
    </row>
    <row r="85" spans="2:5" ht="19.5">
      <c r="B85" s="38" t="s">
        <v>56</v>
      </c>
      <c r="C85" s="21" t="s">
        <v>64</v>
      </c>
      <c r="D85" s="12" t="s">
        <v>54</v>
      </c>
      <c r="E85" s="44">
        <v>5000</v>
      </c>
    </row>
    <row r="86" spans="2:5" ht="19.5">
      <c r="B86" s="38" t="s">
        <v>57</v>
      </c>
      <c r="C86" s="21" t="s">
        <v>65</v>
      </c>
      <c r="D86" s="12"/>
      <c r="E86" s="45">
        <v>0</v>
      </c>
    </row>
    <row r="87" spans="2:5" ht="19.5">
      <c r="B87" s="38" t="s">
        <v>58</v>
      </c>
      <c r="C87" s="21" t="s">
        <v>66</v>
      </c>
      <c r="D87" s="10"/>
      <c r="E87" s="45">
        <v>0</v>
      </c>
    </row>
    <row r="88" spans="2:5" ht="19.5">
      <c r="B88" s="1"/>
      <c r="C88" s="36" t="s">
        <v>67</v>
      </c>
      <c r="E88" s="42"/>
    </row>
    <row r="89" spans="2:5">
      <c r="E89" s="42"/>
    </row>
    <row r="91" spans="2:5" ht="18" thickBot="1">
      <c r="B91" s="13" t="s">
        <v>19</v>
      </c>
      <c r="C91" s="43" t="s">
        <v>68</v>
      </c>
      <c r="E91" s="46">
        <v>337420</v>
      </c>
    </row>
    <row r="92" spans="2:5" ht="15" thickTop="1"/>
    <row r="93" spans="2:5" ht="15">
      <c r="B93" s="13" t="s">
        <v>91</v>
      </c>
      <c r="C93" s="13" t="s">
        <v>92</v>
      </c>
    </row>
    <row r="95" spans="2:5" ht="19.5">
      <c r="C95" s="36" t="s">
        <v>93</v>
      </c>
      <c r="D95" s="30">
        <v>14000</v>
      </c>
    </row>
    <row r="96" spans="2:5" ht="17.25">
      <c r="C96" t="s">
        <v>241</v>
      </c>
      <c r="D96" s="44">
        <f>150000*5%</f>
        <v>7500</v>
      </c>
    </row>
    <row r="97" spans="2:5">
      <c r="E97" s="53"/>
    </row>
    <row r="98" spans="2:5" ht="15" thickBot="1">
      <c r="E98" s="52">
        <f>D95+D96</f>
        <v>21500</v>
      </c>
    </row>
    <row r="99" spans="2:5" ht="15" thickTop="1"/>
    <row r="101" spans="2:5" ht="18" thickBot="1">
      <c r="B101" t="s">
        <v>95</v>
      </c>
      <c r="C101" s="3" t="s">
        <v>96</v>
      </c>
      <c r="D101" t="s">
        <v>54</v>
      </c>
      <c r="E101" s="51">
        <f>E91-E98</f>
        <v>315920</v>
      </c>
    </row>
    <row r="102" spans="2:5" ht="15" thickTop="1"/>
  </sheetData>
  <mergeCells count="5">
    <mergeCell ref="B5:E5"/>
    <mergeCell ref="B6:E6"/>
    <mergeCell ref="B7:E7"/>
    <mergeCell ref="B45:D45"/>
    <mergeCell ref="B74:D74"/>
  </mergeCells>
  <pageMargins left="0.7" right="0.7" top="0.75" bottom="0.75" header="0.3" footer="0.3"/>
  <pageSetup scale="86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E5141-1EE4-4704-995A-8181EE7602DF}">
  <dimension ref="A2:D18"/>
  <sheetViews>
    <sheetView view="pageBreakPreview" zoomScale="60" zoomScaleNormal="100" workbookViewId="0">
      <selection activeCell="D13" sqref="D13"/>
    </sheetView>
  </sheetViews>
  <sheetFormatPr defaultRowHeight="14.25"/>
  <cols>
    <col min="2" max="2" width="35.875" customWidth="1"/>
    <col min="3" max="3" width="31.75" bestFit="1" customWidth="1"/>
    <col min="4" max="4" width="15.125" bestFit="1" customWidth="1"/>
  </cols>
  <sheetData>
    <row r="2" spans="1:4" ht="15.75">
      <c r="A2">
        <v>2</v>
      </c>
      <c r="B2" s="74" t="s">
        <v>161</v>
      </c>
    </row>
    <row r="4" spans="1:4" ht="15.75">
      <c r="B4" s="95"/>
      <c r="C4" s="96"/>
      <c r="D4" s="97"/>
    </row>
    <row r="5" spans="1:4" ht="15.75">
      <c r="B5" s="98" t="s">
        <v>115</v>
      </c>
      <c r="C5" s="99"/>
      <c r="D5" s="100"/>
    </row>
    <row r="6" spans="1:4" ht="15">
      <c r="B6" s="63" t="s">
        <v>116</v>
      </c>
      <c r="C6" s="64"/>
      <c r="D6" s="65"/>
    </row>
    <row r="7" spans="1:4" ht="18.75" customHeight="1">
      <c r="B7" s="61" t="s">
        <v>117</v>
      </c>
      <c r="C7" s="61" t="s">
        <v>128</v>
      </c>
      <c r="D7" s="67">
        <f>1500*20*3*12</f>
        <v>1080000</v>
      </c>
    </row>
    <row r="8" spans="1:4" ht="15">
      <c r="B8" s="62" t="s">
        <v>118</v>
      </c>
      <c r="C8" s="61" t="s">
        <v>163</v>
      </c>
      <c r="D8" s="67">
        <f>1500*15*3*12</f>
        <v>810000</v>
      </c>
    </row>
    <row r="9" spans="1:4" ht="16.5" thickBot="1">
      <c r="B9" s="69" t="s">
        <v>119</v>
      </c>
      <c r="C9" s="69"/>
      <c r="D9" s="72">
        <v>1080000</v>
      </c>
    </row>
    <row r="10" spans="1:4" ht="15.75" thickTop="1">
      <c r="B10" s="62" t="s">
        <v>120</v>
      </c>
      <c r="C10" s="62"/>
      <c r="D10" s="61"/>
    </row>
    <row r="11" spans="1:4" ht="15">
      <c r="B11" s="62" t="s">
        <v>121</v>
      </c>
      <c r="C11" s="62" t="s">
        <v>126</v>
      </c>
      <c r="D11" s="68">
        <f>D9*25%</f>
        <v>270000</v>
      </c>
    </row>
    <row r="12" spans="1:4" ht="15">
      <c r="B12" s="62" t="s">
        <v>125</v>
      </c>
      <c r="C12" s="62" t="s">
        <v>162</v>
      </c>
      <c r="D12" s="68">
        <f>1500*2*2*12/3*2</f>
        <v>48000</v>
      </c>
    </row>
    <row r="13" spans="1:4" ht="15">
      <c r="B13" s="62" t="s">
        <v>127</v>
      </c>
      <c r="C13" s="62" t="s">
        <v>123</v>
      </c>
      <c r="D13" s="68">
        <f>1500*20*2</f>
        <v>60000</v>
      </c>
    </row>
    <row r="14" spans="1:4" ht="15.75" thickBot="1">
      <c r="B14" s="62"/>
      <c r="C14" s="62"/>
      <c r="D14" s="71">
        <f>SUM(D11:D13)</f>
        <v>378000</v>
      </c>
    </row>
    <row r="15" spans="1:4" ht="15.75" thickTop="1">
      <c r="B15" s="62" t="s">
        <v>25</v>
      </c>
      <c r="C15" s="62"/>
      <c r="D15" s="70">
        <f>D9-D14</f>
        <v>702000</v>
      </c>
    </row>
    <row r="16" spans="1:4" ht="15">
      <c r="B16" s="62" t="s">
        <v>122</v>
      </c>
      <c r="C16" s="62"/>
      <c r="D16" s="66">
        <v>0</v>
      </c>
    </row>
    <row r="17" spans="2:4" ht="15" thickBot="1">
      <c r="B17" s="4" t="s">
        <v>30</v>
      </c>
      <c r="C17" s="4"/>
      <c r="D17" s="73">
        <f>D9-D14</f>
        <v>702000</v>
      </c>
    </row>
    <row r="18" spans="2:4" ht="15" thickTop="1"/>
  </sheetData>
  <mergeCells count="2">
    <mergeCell ref="B4:D4"/>
    <mergeCell ref="B5:D5"/>
  </mergeCells>
  <pageMargins left="0.7" right="0.7" top="0.75" bottom="0.75" header="0.3" footer="0.3"/>
  <pageSetup scale="8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76258-2FFA-42BF-A7B6-1EB2DD60D95D}">
  <dimension ref="A2:D23"/>
  <sheetViews>
    <sheetView view="pageBreakPreview" zoomScale="60" zoomScaleNormal="100" workbookViewId="0">
      <selection activeCell="D29" sqref="D29"/>
    </sheetView>
  </sheetViews>
  <sheetFormatPr defaultRowHeight="14.25"/>
  <cols>
    <col min="2" max="2" width="35.875" customWidth="1"/>
    <col min="3" max="3" width="31.75" bestFit="1" customWidth="1"/>
    <col min="4" max="4" width="13" bestFit="1" customWidth="1"/>
  </cols>
  <sheetData>
    <row r="2" spans="1:4" ht="15.75">
      <c r="A2">
        <v>2</v>
      </c>
      <c r="B2" s="74" t="s">
        <v>130</v>
      </c>
    </row>
    <row r="4" spans="1:4" ht="15.75">
      <c r="B4" s="95"/>
      <c r="C4" s="96"/>
      <c r="D4" s="97"/>
    </row>
    <row r="5" spans="1:4" ht="15.75">
      <c r="B5" s="98" t="s">
        <v>115</v>
      </c>
      <c r="C5" s="99"/>
      <c r="D5" s="100"/>
    </row>
    <row r="6" spans="1:4" ht="15">
      <c r="B6" s="63" t="s">
        <v>116</v>
      </c>
      <c r="C6" s="64"/>
      <c r="D6" s="65"/>
    </row>
    <row r="7" spans="1:4" ht="18.75" customHeight="1">
      <c r="B7" s="61" t="s">
        <v>117</v>
      </c>
      <c r="C7" s="61" t="s">
        <v>123</v>
      </c>
      <c r="D7" s="67">
        <f>1500*20*2*12</f>
        <v>720000</v>
      </c>
    </row>
    <row r="8" spans="1:4" ht="15">
      <c r="B8" s="62" t="s">
        <v>118</v>
      </c>
      <c r="C8" s="61" t="s">
        <v>124</v>
      </c>
      <c r="D8" s="67">
        <f>1500*15*2*12</f>
        <v>540000</v>
      </c>
    </row>
    <row r="9" spans="1:4" ht="16.5" thickBot="1">
      <c r="B9" s="69" t="s">
        <v>119</v>
      </c>
      <c r="C9" s="69"/>
      <c r="D9" s="72">
        <v>720000</v>
      </c>
    </row>
    <row r="10" spans="1:4" ht="15.75" thickTop="1">
      <c r="B10" s="62" t="s">
        <v>120</v>
      </c>
      <c r="C10" s="62"/>
      <c r="D10" s="61"/>
    </row>
    <row r="11" spans="1:4" ht="15">
      <c r="B11" s="62" t="s">
        <v>121</v>
      </c>
      <c r="C11" s="62" t="s">
        <v>126</v>
      </c>
      <c r="D11" s="68">
        <f>D9*25%</f>
        <v>180000</v>
      </c>
    </row>
    <row r="12" spans="1:4" ht="15">
      <c r="B12" s="62" t="s">
        <v>125</v>
      </c>
      <c r="C12" s="62" t="s">
        <v>129</v>
      </c>
      <c r="D12" s="68">
        <f>1500*2*2*12/2</f>
        <v>36000</v>
      </c>
    </row>
    <row r="13" spans="1:4" ht="15">
      <c r="B13" s="62" t="s">
        <v>127</v>
      </c>
      <c r="C13" s="62" t="s">
        <v>128</v>
      </c>
      <c r="D13" s="68">
        <f>1500*20*3</f>
        <v>90000</v>
      </c>
    </row>
    <row r="14" spans="1:4" ht="15.75" thickBot="1">
      <c r="B14" s="62"/>
      <c r="C14" s="62"/>
      <c r="D14" s="71">
        <f>SUM(D11:D13)</f>
        <v>306000</v>
      </c>
    </row>
    <row r="15" spans="1:4" ht="15.75" thickTop="1">
      <c r="B15" s="62" t="s">
        <v>25</v>
      </c>
      <c r="C15" s="62"/>
      <c r="D15" s="70">
        <f>D9-D14</f>
        <v>414000</v>
      </c>
    </row>
    <row r="16" spans="1:4" ht="15">
      <c r="B16" s="62" t="s">
        <v>122</v>
      </c>
      <c r="C16" s="62"/>
      <c r="D16" s="66">
        <v>0</v>
      </c>
    </row>
    <row r="17" spans="2:4" ht="15" thickBot="1">
      <c r="B17" s="4" t="s">
        <v>30</v>
      </c>
      <c r="C17" s="4"/>
      <c r="D17" s="73">
        <f>D9-D14</f>
        <v>414000</v>
      </c>
    </row>
    <row r="18" spans="2:4" ht="15" thickTop="1"/>
    <row r="22" spans="2:4">
      <c r="B22" s="91"/>
    </row>
    <row r="23" spans="2:4">
      <c r="B23" s="90" t="s">
        <v>250</v>
      </c>
    </row>
  </sheetData>
  <mergeCells count="2">
    <mergeCell ref="B4:D4"/>
    <mergeCell ref="B5:D5"/>
  </mergeCells>
  <pageMargins left="0.7" right="0.7" top="0.75" bottom="0.75" header="0.3" footer="0.3"/>
  <pageSetup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Sheet2</vt:lpstr>
      <vt:lpstr>Jan-23</vt:lpstr>
      <vt:lpstr>July'23</vt:lpstr>
      <vt:lpstr>JAN'22</vt:lpstr>
      <vt:lpstr>july'22</vt:lpstr>
      <vt:lpstr>Jan'21</vt:lpstr>
      <vt:lpstr>July'21</vt:lpstr>
      <vt:lpstr>Jan'20</vt:lpstr>
      <vt:lpstr>July'20</vt:lpstr>
      <vt:lpstr>Jan'19</vt:lpstr>
      <vt:lpstr>July'19</vt:lpstr>
      <vt:lpstr>Rent-2019</vt:lpstr>
      <vt:lpstr>Sheet1</vt:lpstr>
      <vt:lpstr>July'18</vt:lpstr>
      <vt:lpstr>Rent-July'20</vt:lpstr>
      <vt:lpstr>Rent-Jan'22</vt:lpstr>
      <vt:lpstr>'Rent-Jan''22'!Print_Area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Khadija Khatun (F&amp;A)</dc:creator>
  <cp:lastModifiedBy>Sazzad Hossain Khan</cp:lastModifiedBy>
  <cp:lastPrinted>2025-11-12T09:43:01Z</cp:lastPrinted>
  <dcterms:created xsi:type="dcterms:W3CDTF">2024-12-02T09:19:16Z</dcterms:created>
  <dcterms:modified xsi:type="dcterms:W3CDTF">2025-11-12T09:43:06Z</dcterms:modified>
</cp:coreProperties>
</file>