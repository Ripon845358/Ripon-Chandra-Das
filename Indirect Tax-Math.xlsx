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 Material\CS-LEVEL-2\Tax\"/>
    </mc:Choice>
  </mc:AlternateContent>
  <xr:revisionPtr revIDLastSave="0" documentId="13_ncr:1_{F7F007D3-005B-4E10-B76C-948AC2874A11}" xr6:coauthVersionLast="47" xr6:coauthVersionMax="47" xr10:uidLastSave="{00000000-0000-0000-0000-000000000000}"/>
  <bookViews>
    <workbookView xWindow="-120" yWindow="-120" windowWidth="20730" windowHeight="11160" activeTab="3" xr2:uid="{3D12DD75-DE07-43B3-95FA-849A11177151}"/>
  </bookViews>
  <sheets>
    <sheet name="Jan'23" sheetId="1" r:id="rId1"/>
    <sheet name="July'22" sheetId="2" r:id="rId2"/>
    <sheet name="Jan'22" sheetId="3" r:id="rId3"/>
    <sheet name="July'2021" sheetId="4" r:id="rId4"/>
    <sheet name="Jan'2021" sheetId="5" r:id="rId5"/>
    <sheet name="Jan'2020" sheetId="6" r:id="rId6"/>
    <sheet name="July'2019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3" l="1"/>
  <c r="C36" i="3"/>
  <c r="C28" i="3"/>
  <c r="C55" i="5" l="1"/>
  <c r="C42" i="5"/>
  <c r="C14" i="5"/>
  <c r="C55" i="7"/>
  <c r="C38" i="7"/>
  <c r="C36" i="7"/>
  <c r="C28" i="7"/>
  <c r="C55" i="8"/>
  <c r="C47" i="8"/>
  <c r="C38" i="8"/>
  <c r="C36" i="8"/>
  <c r="C28" i="8"/>
  <c r="C24" i="8"/>
  <c r="C12" i="8"/>
  <c r="D93" i="8"/>
  <c r="D91" i="8"/>
  <c r="D84" i="8"/>
  <c r="D83" i="8"/>
  <c r="D82" i="8"/>
  <c r="D74" i="8"/>
  <c r="D93" i="7"/>
  <c r="D91" i="7"/>
  <c r="D84" i="7"/>
  <c r="D83" i="7"/>
  <c r="D82" i="7"/>
  <c r="D74" i="7"/>
  <c r="C47" i="7"/>
  <c r="C24" i="7"/>
  <c r="C16" i="7"/>
  <c r="C12" i="7"/>
  <c r="D34" i="6"/>
  <c r="D32" i="6"/>
  <c r="D25" i="6"/>
  <c r="D24" i="6" l="1"/>
  <c r="D23" i="6"/>
  <c r="D15" i="6"/>
  <c r="C72" i="5" l="1"/>
  <c r="C63" i="5"/>
  <c r="C37" i="5"/>
  <c r="C29" i="5"/>
  <c r="C22" i="5"/>
  <c r="C52" i="5"/>
  <c r="C10" i="5"/>
  <c r="C56" i="4"/>
  <c r="C37" i="4"/>
  <c r="C29" i="4"/>
  <c r="C25" i="4"/>
  <c r="C17" i="4"/>
  <c r="C13" i="4"/>
  <c r="C48" i="4"/>
  <c r="C39" i="4"/>
  <c r="C55" i="3"/>
  <c r="C47" i="3"/>
  <c r="C24" i="3"/>
  <c r="C16" i="3"/>
  <c r="C12" i="3"/>
  <c r="C69" i="2"/>
  <c r="C61" i="2"/>
  <c r="C50" i="2"/>
  <c r="C52" i="2" s="1"/>
  <c r="C30" i="2"/>
  <c r="C38" i="2"/>
  <c r="C42" i="2"/>
  <c r="C26" i="2"/>
  <c r="C16" i="2"/>
  <c r="C55" i="1" l="1"/>
  <c r="C63" i="1"/>
  <c r="C37" i="1"/>
  <c r="C42" i="1" s="1"/>
  <c r="C29" i="1"/>
  <c r="C10" i="1"/>
  <c r="C22" i="1"/>
  <c r="C14" i="1"/>
  <c r="C52" i="1" l="1"/>
</calcChain>
</file>

<file path=xl/sharedStrings.xml><?xml version="1.0" encoding="utf-8"?>
<sst xmlns="http://schemas.openxmlformats.org/spreadsheetml/2006/main" count="414" uniqueCount="151">
  <si>
    <t>Assesable value :</t>
  </si>
  <si>
    <t>AV=</t>
  </si>
  <si>
    <t>Cost (fob value)+ freight+ insurance (C&amp;F) or actual insurance + Landing charge (of CIF)</t>
  </si>
  <si>
    <t>C&amp; F Value=</t>
  </si>
  <si>
    <t xml:space="preserve">SO, </t>
  </si>
  <si>
    <t>Assesable value=</t>
  </si>
  <si>
    <t>01.</t>
  </si>
  <si>
    <t>02.</t>
  </si>
  <si>
    <t>CD=</t>
  </si>
  <si>
    <t>AV * CD RATE</t>
  </si>
  <si>
    <t xml:space="preserve">so, </t>
  </si>
  <si>
    <t>03.</t>
  </si>
  <si>
    <t>Regulatory duty (RD)-5%</t>
  </si>
  <si>
    <t>Customs Duty (CD): 10%</t>
  </si>
  <si>
    <t>=</t>
  </si>
  <si>
    <t>RD=</t>
  </si>
  <si>
    <t>81,709,000*5%</t>
  </si>
  <si>
    <t>8,170,9000*10%</t>
  </si>
  <si>
    <t>80,900,000+80,900,000*1%</t>
  </si>
  <si>
    <t>Supplementary duty (SD)-10%</t>
  </si>
  <si>
    <t>04.</t>
  </si>
  <si>
    <t>AV For SD calculation=</t>
  </si>
  <si>
    <t>AV +CD+RD</t>
  </si>
  <si>
    <t>SO,</t>
  </si>
  <si>
    <t xml:space="preserve">There fore, </t>
  </si>
  <si>
    <t>SD=</t>
  </si>
  <si>
    <t>93,965,350*10%</t>
  </si>
  <si>
    <t>81,709,000+8,170,900+4,085,450</t>
  </si>
  <si>
    <t>80,000,000+900,000</t>
  </si>
  <si>
    <t>05.</t>
  </si>
  <si>
    <t>AV For VAT=</t>
  </si>
  <si>
    <t>AV+CD+RD+SD</t>
  </si>
  <si>
    <t>81709000+8170900+4085450+9396535</t>
  </si>
  <si>
    <t>VAT=</t>
  </si>
  <si>
    <t>Value Added Tax : 15%</t>
  </si>
  <si>
    <t>06.</t>
  </si>
  <si>
    <t>AIT=</t>
  </si>
  <si>
    <t>Advance Income Tax (AIT) : 5%</t>
  </si>
  <si>
    <t>AV*5%</t>
  </si>
  <si>
    <t>January 2023</t>
  </si>
  <si>
    <t>The price of an appliance is Tk. l00.000.VAT is applicable at @15%. What will be the value of the taxable supply?</t>
  </si>
  <si>
    <t>solution:</t>
  </si>
  <si>
    <r>
      <t>value of the taxable supply</t>
    </r>
    <r>
      <rPr>
        <sz val="11"/>
        <color theme="1"/>
        <rFont val="Aptos Narrow"/>
        <family val="2"/>
        <scheme val="minor"/>
      </rPr>
      <t>:</t>
    </r>
  </si>
  <si>
    <t>Value of Taxable Supply=</t>
  </si>
  <si>
    <t>Price Inclusive of Vat /1+Vat Rate</t>
  </si>
  <si>
    <t>100000*15/100+15</t>
  </si>
  <si>
    <t>03. (a)</t>
  </si>
  <si>
    <t>03 (B)</t>
  </si>
  <si>
    <t>Here,</t>
  </si>
  <si>
    <t xml:space="preserve">Assessable value   </t>
  </si>
  <si>
    <t>100,000*25%</t>
  </si>
  <si>
    <t>Custorns duty @25%</t>
  </si>
  <si>
    <t>Regulatory duty @ 10%</t>
  </si>
  <si>
    <t>100,000*10%</t>
  </si>
  <si>
    <t>AV for SD calculation</t>
  </si>
  <si>
    <t>AD+CD+RD</t>
  </si>
  <si>
    <t>100,000+25,000+10,000</t>
  </si>
  <si>
    <t>135,000*20%</t>
  </si>
  <si>
    <t>Supplementary duty=</t>
  </si>
  <si>
    <t>Supplementary duty @ 20%</t>
  </si>
  <si>
    <t>AV calcultaion for VAT</t>
  </si>
  <si>
    <t>100,000+25,000+10,000+27,000</t>
  </si>
  <si>
    <t xml:space="preserve"> I 00,000</t>
  </si>
  <si>
    <t>Tk.</t>
  </si>
  <si>
    <t>Advance Income Tax : 5%</t>
  </si>
  <si>
    <t>AV *5%</t>
  </si>
  <si>
    <t>100000*5%</t>
  </si>
  <si>
    <t>Advance Tax (AT) : 4%</t>
  </si>
  <si>
    <t>Value added Tax (VAT : 15%</t>
  </si>
  <si>
    <t>VAT</t>
  </si>
  <si>
    <t>AT=</t>
  </si>
  <si>
    <t>AV for VAT * AT rate</t>
  </si>
  <si>
    <t>162,000*4%</t>
  </si>
  <si>
    <t>July' 2022</t>
  </si>
  <si>
    <t>January  2022</t>
  </si>
  <si>
    <t>100,000*3%</t>
  </si>
  <si>
    <t>100,000+25,000+3,000</t>
  </si>
  <si>
    <t>100,000*5%</t>
  </si>
  <si>
    <t>153,600*4%</t>
  </si>
  <si>
    <t>wrong question</t>
  </si>
  <si>
    <t>July 2021</t>
  </si>
  <si>
    <t>Mr. Jahid</t>
  </si>
  <si>
    <t>200,000*25%</t>
  </si>
  <si>
    <t>200,000*3%</t>
  </si>
  <si>
    <t>Supplementary duty @ 45%</t>
  </si>
  <si>
    <t>Customs duty @25%</t>
  </si>
  <si>
    <t>200,000+50,000+6,000</t>
  </si>
  <si>
    <t>256,000*45%</t>
  </si>
  <si>
    <t>200,000+50,000+6,000+115,200</t>
  </si>
  <si>
    <t>200,000*5%</t>
  </si>
  <si>
    <t>371,200*5%</t>
  </si>
  <si>
    <t>Advance Tax (AT) : 5%</t>
  </si>
  <si>
    <t>Regulatory duty @ 3%</t>
  </si>
  <si>
    <t>January 2021</t>
  </si>
  <si>
    <t>07.</t>
  </si>
  <si>
    <t>103,361,885*5%</t>
  </si>
  <si>
    <t>January 2020</t>
  </si>
  <si>
    <r>
      <t>Initial value</t>
    </r>
    <r>
      <rPr>
        <sz val="11"/>
        <color theme="1"/>
        <rFont val="Aptos Narrow"/>
        <family val="2"/>
        <scheme val="minor"/>
      </rPr>
      <t xml:space="preserve"> (manufacturer's supply price): Tk. 1,000</t>
    </r>
  </si>
  <si>
    <r>
      <t>Value added at each stage</t>
    </r>
    <r>
      <rPr>
        <sz val="11"/>
        <color theme="1"/>
        <rFont val="Aptos Narrow"/>
        <family val="2"/>
        <scheme val="minor"/>
      </rPr>
      <t xml:space="preserve"> (by wholesaler and retailer): Tk. 500</t>
    </r>
  </si>
  <si>
    <t>a.</t>
  </si>
  <si>
    <t>b.</t>
  </si>
  <si>
    <t>c.</t>
  </si>
  <si>
    <r>
      <t>Assume VAT rate</t>
    </r>
    <r>
      <rPr>
        <sz val="11"/>
        <color theme="1"/>
        <rFont val="Aptos Narrow"/>
        <family val="2"/>
        <scheme val="minor"/>
      </rPr>
      <t>: 15%</t>
    </r>
  </si>
  <si>
    <t>stage -1:</t>
  </si>
  <si>
    <t>Manufacturer to Wholesaler</t>
  </si>
  <si>
    <r>
      <t>Taxable Value</t>
    </r>
    <r>
      <rPr>
        <sz val="11"/>
        <color theme="1"/>
        <rFont val="Aptos Narrow"/>
        <family val="2"/>
        <scheme val="minor"/>
      </rPr>
      <t xml:space="preserve">: </t>
    </r>
  </si>
  <si>
    <t>Tk. 1,000</t>
  </si>
  <si>
    <r>
      <t>VAT Amount</t>
    </r>
    <r>
      <rPr>
        <sz val="11"/>
        <color theme="1"/>
        <rFont val="Aptos Narrow"/>
        <family val="2"/>
        <scheme val="minor"/>
      </rPr>
      <t xml:space="preserve">: </t>
    </r>
  </si>
  <si>
    <r>
      <t>Price (including VAT)</t>
    </r>
    <r>
      <rPr>
        <sz val="11"/>
        <color theme="1"/>
        <rFont val="Aptos Narrow"/>
        <family val="2"/>
        <scheme val="minor"/>
      </rPr>
      <t xml:space="preserve">: </t>
    </r>
  </si>
  <si>
    <t>Wholesaler to Retailer</t>
  </si>
  <si>
    <t>Value added by whole seller</t>
  </si>
  <si>
    <r>
      <t>New Taxable Value</t>
    </r>
    <r>
      <rPr>
        <sz val="11"/>
        <color theme="1"/>
        <rFont val="Aptos Narrow"/>
        <family val="2"/>
        <scheme val="minor"/>
      </rPr>
      <t xml:space="preserve">: </t>
    </r>
  </si>
  <si>
    <t>Tk. 500</t>
  </si>
  <si>
    <t>1000*15%</t>
  </si>
  <si>
    <t>500*15%</t>
  </si>
  <si>
    <t>1,500+75</t>
  </si>
  <si>
    <t>Tk. 1,000+500</t>
  </si>
  <si>
    <t>1,000+150</t>
  </si>
  <si>
    <t>Total VAT Payable by Wholesaler</t>
  </si>
  <si>
    <t>150 +75</t>
  </si>
  <si>
    <t>Stage 3:</t>
  </si>
  <si>
    <t xml:space="preserve"> Retailer to Consumer</t>
  </si>
  <si>
    <t>Tk. 1,500+500</t>
  </si>
  <si>
    <t>2.000+75</t>
  </si>
  <si>
    <t>150 +75+75</t>
  </si>
  <si>
    <t>stage -2:</t>
  </si>
  <si>
    <t>10,000*50%</t>
  </si>
  <si>
    <t>Regulatory duty @ 30%</t>
  </si>
  <si>
    <t>10000*30%</t>
  </si>
  <si>
    <t>Supplementary duty @ 30%</t>
  </si>
  <si>
    <t>10,000+5,000+3,000</t>
  </si>
  <si>
    <t>Customs duty @50%</t>
  </si>
  <si>
    <t>Value added Tax (VAT : 15%)</t>
  </si>
  <si>
    <t>10,000*5%</t>
  </si>
  <si>
    <t>July  2019</t>
  </si>
  <si>
    <t>01 (c)</t>
  </si>
  <si>
    <t>02.(c)</t>
  </si>
  <si>
    <t>January  2019</t>
  </si>
  <si>
    <t>1,000*25%</t>
  </si>
  <si>
    <t xml:space="preserve">Regulatory duty </t>
  </si>
  <si>
    <t>1,000+2,500</t>
  </si>
  <si>
    <t>3,500*30%</t>
  </si>
  <si>
    <t>1000+2500+1050</t>
  </si>
  <si>
    <t>1,000*5%</t>
  </si>
  <si>
    <t>4,550*4%</t>
  </si>
  <si>
    <t>18,000*30%</t>
  </si>
  <si>
    <t>10,000+5,000+3,000+5,400</t>
  </si>
  <si>
    <t>23400*4%</t>
  </si>
  <si>
    <t>81,709,000+8,170,900+4,085,450+9,396,535</t>
  </si>
  <si>
    <t>128,000*200%</t>
  </si>
  <si>
    <t>100,000+25,000+3,000+250,600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</si>
</sst>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43" fontId="0" fillId="0" borderId="0" xfId="1" applyFont="1"/>
    <xf numFmtId="165" fontId="0" fillId="0" borderId="0" xfId="1" applyNumberFormat="1" applyFont="1"/>
    <xf numFmtId="0" fontId="0" fillId="0" borderId="0" xfId="0" quotePrefix="1"/>
    <xf numFmtId="0" fontId="3" fillId="0" borderId="0" xfId="0" quotePrefix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165" fontId="3" fillId="0" borderId="1" xfId="1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43" fontId="0" fillId="0" borderId="0" xfId="1" applyFont="1" applyAlignment="1">
      <alignment horizontal="left"/>
    </xf>
    <xf numFmtId="43" fontId="3" fillId="0" borderId="0" xfId="1" applyFont="1" applyAlignment="1">
      <alignment horizontal="left"/>
    </xf>
    <xf numFmtId="165" fontId="3" fillId="0" borderId="1" xfId="1" applyNumberFormat="1" applyFont="1" applyBorder="1" applyAlignment="1">
      <alignment horizontal="left"/>
    </xf>
    <xf numFmtId="165" fontId="0" fillId="0" borderId="0" xfId="1" applyNumberFormat="1" applyFont="1" applyAlignment="1">
      <alignment horizontal="left"/>
    </xf>
    <xf numFmtId="165" fontId="3" fillId="0" borderId="1" xfId="0" applyNumberFormat="1" applyFont="1" applyBorder="1" applyAlignment="1">
      <alignment horizontal="left"/>
    </xf>
    <xf numFmtId="165" fontId="3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left"/>
    </xf>
    <xf numFmtId="164" fontId="0" fillId="0" borderId="0" xfId="1" applyNumberFormat="1" applyFont="1" applyBorder="1"/>
    <xf numFmtId="165" fontId="0" fillId="0" borderId="0" xfId="0" applyNumberFormat="1" applyAlignment="1">
      <alignment horizontal="right"/>
    </xf>
    <xf numFmtId="165" fontId="3" fillId="0" borderId="0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5" fontId="3" fillId="0" borderId="2" xfId="1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0" applyFont="1"/>
    <xf numFmtId="3" fontId="0" fillId="0" borderId="0" xfId="0" applyNumberFormat="1"/>
    <xf numFmtId="165" fontId="3" fillId="0" borderId="0" xfId="1" applyNumberFormat="1" applyFont="1" applyAlignment="1">
      <alignment horizontal="left"/>
    </xf>
    <xf numFmtId="0" fontId="0" fillId="2" borderId="0" xfId="0" quotePrefix="1" applyFill="1"/>
    <xf numFmtId="0" fontId="3" fillId="2" borderId="0" xfId="0" applyFont="1" applyFill="1"/>
    <xf numFmtId="0" fontId="3" fillId="2" borderId="0" xfId="0" quotePrefix="1" applyFont="1" applyFill="1"/>
    <xf numFmtId="43" fontId="0" fillId="0" borderId="0" xfId="0" applyNumberFormat="1"/>
    <xf numFmtId="17" fontId="4" fillId="3" borderId="0" xfId="0" quotePrefix="1" applyNumberFormat="1" applyFont="1" applyFill="1" applyAlignment="1">
      <alignment horizontal="center"/>
    </xf>
    <xf numFmtId="0" fontId="4" fillId="3" borderId="0" xfId="0" quotePrefix="1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quotePrefix="1" applyFont="1" applyFill="1" applyAlignment="1">
      <alignment horizontal="center"/>
    </xf>
    <xf numFmtId="0" fontId="4" fillId="0" borderId="0" xfId="0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2AA7-07D1-45E5-B89A-22E30470F404}">
  <dimension ref="A2:E64"/>
  <sheetViews>
    <sheetView workbookViewId="0">
      <selection activeCell="C63" sqref="C63"/>
    </sheetView>
  </sheetViews>
  <sheetFormatPr defaultRowHeight="15" x14ac:dyDescent="0.25"/>
  <cols>
    <col min="2" max="2" width="22" customWidth="1"/>
    <col min="3" max="3" width="25.5703125" style="11" customWidth="1"/>
    <col min="4" max="4" width="14.28515625" bestFit="1" customWidth="1"/>
  </cols>
  <sheetData>
    <row r="2" spans="1:5" ht="15.75" x14ac:dyDescent="0.25">
      <c r="A2" s="39" t="s">
        <v>39</v>
      </c>
      <c r="B2" s="39"/>
      <c r="C2" s="39"/>
      <c r="D2" s="39"/>
    </row>
    <row r="4" spans="1:5" x14ac:dyDescent="0.25">
      <c r="A4" s="5" t="s">
        <v>6</v>
      </c>
      <c r="B4" s="1" t="s">
        <v>0</v>
      </c>
    </row>
    <row r="6" spans="1:5" ht="60" x14ac:dyDescent="0.25">
      <c r="B6" s="1" t="s">
        <v>1</v>
      </c>
      <c r="C6" s="16" t="s">
        <v>2</v>
      </c>
    </row>
    <row r="8" spans="1:5" x14ac:dyDescent="0.25">
      <c r="B8" s="1" t="s">
        <v>3</v>
      </c>
      <c r="C8" s="17" t="s">
        <v>28</v>
      </c>
      <c r="D8" s="2"/>
      <c r="E8" s="2"/>
    </row>
    <row r="9" spans="1:5" x14ac:dyDescent="0.25">
      <c r="D9" s="2"/>
      <c r="E9" s="2"/>
    </row>
    <row r="10" spans="1:5" x14ac:dyDescent="0.25">
      <c r="B10" s="7" t="s">
        <v>14</v>
      </c>
      <c r="C10" s="18">
        <f>80000000+900000</f>
        <v>80900000</v>
      </c>
      <c r="D10" s="2"/>
      <c r="E10" s="2"/>
    </row>
    <row r="12" spans="1:5" x14ac:dyDescent="0.25">
      <c r="A12" t="s">
        <v>4</v>
      </c>
      <c r="B12" s="8" t="s">
        <v>1</v>
      </c>
      <c r="C12" s="11" t="s">
        <v>18</v>
      </c>
    </row>
    <row r="14" spans="1:5" ht="15.75" thickBot="1" x14ac:dyDescent="0.3">
      <c r="B14" s="1" t="s">
        <v>5</v>
      </c>
      <c r="C14" s="19">
        <f>80900000+80900000*1%</f>
        <v>81709000</v>
      </c>
    </row>
    <row r="15" spans="1:5" ht="15.75" thickTop="1" x14ac:dyDescent="0.25"/>
    <row r="16" spans="1:5" x14ac:dyDescent="0.25">
      <c r="A16" s="5" t="s">
        <v>7</v>
      </c>
      <c r="B16" s="1" t="s">
        <v>13</v>
      </c>
    </row>
    <row r="18" spans="1:3" x14ac:dyDescent="0.25">
      <c r="B18" s="8" t="s">
        <v>8</v>
      </c>
      <c r="C18" s="8" t="s">
        <v>9</v>
      </c>
    </row>
    <row r="20" spans="1:3" ht="15.75" x14ac:dyDescent="0.25">
      <c r="B20" s="9" t="s">
        <v>14</v>
      </c>
      <c r="C20" s="20" t="s">
        <v>17</v>
      </c>
    </row>
    <row r="22" spans="1:3" ht="15.75" thickBot="1" x14ac:dyDescent="0.3">
      <c r="A22" s="1" t="s">
        <v>10</v>
      </c>
      <c r="B22" s="1" t="s">
        <v>8</v>
      </c>
      <c r="C22" s="19">
        <f>81709000*10%</f>
        <v>8170900</v>
      </c>
    </row>
    <row r="23" spans="1:3" ht="15.75" thickTop="1" x14ac:dyDescent="0.25"/>
    <row r="25" spans="1:3" x14ac:dyDescent="0.25">
      <c r="A25" s="4" t="s">
        <v>11</v>
      </c>
      <c r="B25" s="1" t="s">
        <v>12</v>
      </c>
    </row>
    <row r="27" spans="1:3" x14ac:dyDescent="0.25">
      <c r="B27" s="1" t="s">
        <v>15</v>
      </c>
      <c r="C27" s="8" t="s">
        <v>16</v>
      </c>
    </row>
    <row r="29" spans="1:3" ht="15.75" thickBot="1" x14ac:dyDescent="0.3">
      <c r="B29" s="7" t="s">
        <v>14</v>
      </c>
      <c r="C29" s="19">
        <f>81709000*5%</f>
        <v>4085450</v>
      </c>
    </row>
    <row r="30" spans="1:3" ht="15.75" thickTop="1" x14ac:dyDescent="0.25"/>
    <row r="31" spans="1:3" x14ac:dyDescent="0.25">
      <c r="A31" s="4" t="s">
        <v>20</v>
      </c>
      <c r="B31" s="1" t="s">
        <v>19</v>
      </c>
    </row>
    <row r="33" spans="1:5" x14ac:dyDescent="0.25">
      <c r="A33" t="s">
        <v>23</v>
      </c>
      <c r="B33" s="1" t="s">
        <v>21</v>
      </c>
      <c r="C33" s="11" t="s">
        <v>22</v>
      </c>
    </row>
    <row r="35" spans="1:5" x14ac:dyDescent="0.25">
      <c r="C35" s="10" t="s">
        <v>27</v>
      </c>
    </row>
    <row r="37" spans="1:5" ht="15.75" x14ac:dyDescent="0.25">
      <c r="B37" s="9" t="s">
        <v>14</v>
      </c>
      <c r="C37" s="10">
        <f>81709000+8170900+4085450</f>
        <v>93965350</v>
      </c>
      <c r="E37" s="12"/>
    </row>
    <row r="39" spans="1:5" x14ac:dyDescent="0.25">
      <c r="A39" t="s">
        <v>24</v>
      </c>
    </row>
    <row r="40" spans="1:5" x14ac:dyDescent="0.25">
      <c r="B40" s="1" t="s">
        <v>25</v>
      </c>
      <c r="C40" s="11" t="s">
        <v>26</v>
      </c>
    </row>
    <row r="42" spans="1:5" ht="15.75" thickBot="1" x14ac:dyDescent="0.3">
      <c r="C42" s="21">
        <f>C37*10%</f>
        <v>9396535</v>
      </c>
    </row>
    <row r="43" spans="1:5" ht="15.75" thickTop="1" x14ac:dyDescent="0.25"/>
    <row r="46" spans="1:5" x14ac:dyDescent="0.25">
      <c r="A46" s="4" t="s">
        <v>29</v>
      </c>
      <c r="B46" s="1" t="s">
        <v>34</v>
      </c>
    </row>
    <row r="48" spans="1:5" x14ac:dyDescent="0.25">
      <c r="B48" s="8" t="s">
        <v>30</v>
      </c>
      <c r="C48" s="8" t="s">
        <v>31</v>
      </c>
    </row>
    <row r="50" spans="1:3" x14ac:dyDescent="0.25">
      <c r="B50" s="7" t="s">
        <v>14</v>
      </c>
      <c r="C50" s="17" t="s">
        <v>32</v>
      </c>
    </row>
    <row r="52" spans="1:3" x14ac:dyDescent="0.25">
      <c r="C52" s="22">
        <f>C14+C22+C29+C42</f>
        <v>103361885</v>
      </c>
    </row>
    <row r="53" spans="1:3" x14ac:dyDescent="0.25">
      <c r="C53" s="22"/>
    </row>
    <row r="54" spans="1:3" x14ac:dyDescent="0.25">
      <c r="A54" t="s">
        <v>23</v>
      </c>
    </row>
    <row r="55" spans="1:3" ht="15.75" thickBot="1" x14ac:dyDescent="0.3">
      <c r="B55" s="1" t="s">
        <v>33</v>
      </c>
      <c r="C55" s="23">
        <f>C52*15%</f>
        <v>15504282.75</v>
      </c>
    </row>
    <row r="56" spans="1:3" ht="15.75" thickTop="1" x14ac:dyDescent="0.25"/>
    <row r="57" spans="1:3" x14ac:dyDescent="0.25">
      <c r="A57" s="4" t="s">
        <v>35</v>
      </c>
      <c r="B57" s="1" t="s">
        <v>37</v>
      </c>
    </row>
    <row r="59" spans="1:3" x14ac:dyDescent="0.25">
      <c r="B59" s="1" t="s">
        <v>36</v>
      </c>
      <c r="C59" s="8" t="s">
        <v>38</v>
      </c>
    </row>
    <row r="61" spans="1:3" x14ac:dyDescent="0.25">
      <c r="B61" s="7" t="s">
        <v>14</v>
      </c>
      <c r="C61" s="11" t="s">
        <v>16</v>
      </c>
    </row>
    <row r="63" spans="1:3" ht="15.75" thickBot="1" x14ac:dyDescent="0.3">
      <c r="C63" s="19">
        <f>81709000*5%</f>
        <v>4085450</v>
      </c>
    </row>
    <row r="64" spans="1:3" ht="15.75" thickTop="1" x14ac:dyDescent="0.25"/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495A-E512-4B71-869C-12691E2638A2}">
  <dimension ref="A2:F70"/>
  <sheetViews>
    <sheetView workbookViewId="0">
      <selection activeCell="C1" sqref="C1"/>
    </sheetView>
  </sheetViews>
  <sheetFormatPr defaultRowHeight="15" x14ac:dyDescent="0.25"/>
  <cols>
    <col min="2" max="2" width="26.28515625" customWidth="1"/>
    <col min="3" max="3" width="29.7109375" style="6" customWidth="1"/>
  </cols>
  <sheetData>
    <row r="2" spans="1:6" ht="15.75" x14ac:dyDescent="0.25">
      <c r="A2" s="40" t="s">
        <v>73</v>
      </c>
      <c r="B2" s="40"/>
      <c r="C2" s="40"/>
    </row>
    <row r="4" spans="1:6" x14ac:dyDescent="0.25">
      <c r="A4" s="37" t="s">
        <v>46</v>
      </c>
      <c r="B4" s="1" t="s">
        <v>40</v>
      </c>
    </row>
    <row r="7" spans="1:6" x14ac:dyDescent="0.25">
      <c r="A7" s="1" t="s">
        <v>41</v>
      </c>
    </row>
    <row r="9" spans="1:6" x14ac:dyDescent="0.25">
      <c r="B9" s="1" t="s">
        <v>42</v>
      </c>
    </row>
    <row r="12" spans="1:6" x14ac:dyDescent="0.25">
      <c r="B12" s="1" t="s">
        <v>43</v>
      </c>
      <c r="C12" s="7" t="s">
        <v>44</v>
      </c>
    </row>
    <row r="14" spans="1:6" x14ac:dyDescent="0.25">
      <c r="C14" s="6" t="s">
        <v>45</v>
      </c>
      <c r="F14" s="24"/>
    </row>
    <row r="16" spans="1:6" ht="15.75" thickBot="1" x14ac:dyDescent="0.3">
      <c r="C16" s="27">
        <f>100000*15/115</f>
        <v>13043.478260869566</v>
      </c>
    </row>
    <row r="17" spans="1:3" ht="15.75" thickTop="1" x14ac:dyDescent="0.25"/>
    <row r="20" spans="1:3" x14ac:dyDescent="0.25">
      <c r="A20" s="36" t="s">
        <v>47</v>
      </c>
      <c r="C20" s="7" t="s">
        <v>63</v>
      </c>
    </row>
    <row r="21" spans="1:3" x14ac:dyDescent="0.25">
      <c r="B21" t="s">
        <v>48</v>
      </c>
    </row>
    <row r="22" spans="1:3" x14ac:dyDescent="0.25">
      <c r="B22" s="1" t="s">
        <v>49</v>
      </c>
      <c r="C22" s="26" t="s">
        <v>62</v>
      </c>
    </row>
    <row r="24" spans="1:3" x14ac:dyDescent="0.25">
      <c r="A24" s="4" t="s">
        <v>6</v>
      </c>
      <c r="B24" s="1" t="s">
        <v>51</v>
      </c>
      <c r="C24" s="6" t="s">
        <v>50</v>
      </c>
    </row>
    <row r="26" spans="1:3" ht="15.75" thickBot="1" x14ac:dyDescent="0.3">
      <c r="C26" s="14">
        <f>100000*25%</f>
        <v>25000</v>
      </c>
    </row>
    <row r="27" spans="1:3" ht="15.75" thickTop="1" x14ac:dyDescent="0.25"/>
    <row r="28" spans="1:3" x14ac:dyDescent="0.25">
      <c r="A28" s="4" t="s">
        <v>7</v>
      </c>
      <c r="B28" s="1" t="s">
        <v>52</v>
      </c>
      <c r="C28" s="6" t="s">
        <v>53</v>
      </c>
    </row>
    <row r="30" spans="1:3" ht="15.75" thickBot="1" x14ac:dyDescent="0.3">
      <c r="C30" s="14">
        <f>100000*10%</f>
        <v>10000</v>
      </c>
    </row>
    <row r="31" spans="1:3" ht="15.75" thickTop="1" x14ac:dyDescent="0.25"/>
    <row r="32" spans="1:3" x14ac:dyDescent="0.25">
      <c r="A32" s="4" t="s">
        <v>11</v>
      </c>
      <c r="B32" s="1" t="s">
        <v>59</v>
      </c>
    </row>
    <row r="34" spans="1:3" x14ac:dyDescent="0.25">
      <c r="B34" s="1" t="s">
        <v>54</v>
      </c>
      <c r="C34" s="7" t="s">
        <v>55</v>
      </c>
    </row>
    <row r="36" spans="1:3" x14ac:dyDescent="0.25">
      <c r="C36" s="6" t="s">
        <v>56</v>
      </c>
    </row>
    <row r="38" spans="1:3" ht="15.75" thickBot="1" x14ac:dyDescent="0.3">
      <c r="C38" s="14">
        <f>100000+25000+10000</f>
        <v>135000</v>
      </c>
    </row>
    <row r="39" spans="1:3" ht="15.75" thickTop="1" x14ac:dyDescent="0.25"/>
    <row r="40" spans="1:3" x14ac:dyDescent="0.25">
      <c r="A40" t="s">
        <v>23</v>
      </c>
      <c r="B40" s="6" t="s">
        <v>58</v>
      </c>
      <c r="C40" s="25" t="s">
        <v>57</v>
      </c>
    </row>
    <row r="42" spans="1:3" ht="15.75" thickBot="1" x14ac:dyDescent="0.3">
      <c r="C42" s="15">
        <f>135000*20%</f>
        <v>27000</v>
      </c>
    </row>
    <row r="43" spans="1:3" ht="15.75" thickTop="1" x14ac:dyDescent="0.25"/>
    <row r="44" spans="1:3" x14ac:dyDescent="0.25">
      <c r="A44" s="4" t="s">
        <v>20</v>
      </c>
      <c r="B44" t="s">
        <v>68</v>
      </c>
    </row>
    <row r="46" spans="1:3" x14ac:dyDescent="0.25">
      <c r="B46" s="1" t="s">
        <v>60</v>
      </c>
      <c r="C46" s="7" t="s">
        <v>31</v>
      </c>
    </row>
    <row r="48" spans="1:3" x14ac:dyDescent="0.25">
      <c r="C48" s="6" t="s">
        <v>61</v>
      </c>
    </row>
    <row r="50" spans="1:3" x14ac:dyDescent="0.25">
      <c r="C50" s="28">
        <f>100000+25000+10000+27000</f>
        <v>162000</v>
      </c>
    </row>
    <row r="52" spans="1:3" ht="15.75" thickBot="1" x14ac:dyDescent="0.3">
      <c r="A52" t="s">
        <v>10</v>
      </c>
      <c r="B52" s="1" t="s">
        <v>69</v>
      </c>
      <c r="C52" s="15">
        <f>C50*15%</f>
        <v>24300</v>
      </c>
    </row>
    <row r="53" spans="1:3" ht="15.75" thickTop="1" x14ac:dyDescent="0.25"/>
    <row r="54" spans="1:3" x14ac:dyDescent="0.25">
      <c r="A54" s="4" t="s">
        <v>29</v>
      </c>
    </row>
    <row r="55" spans="1:3" x14ac:dyDescent="0.25">
      <c r="B55" s="1" t="s">
        <v>64</v>
      </c>
    </row>
    <row r="57" spans="1:3" x14ac:dyDescent="0.25">
      <c r="B57" s="1" t="s">
        <v>36</v>
      </c>
      <c r="C57" s="7" t="s">
        <v>65</v>
      </c>
    </row>
    <row r="59" spans="1:3" x14ac:dyDescent="0.25">
      <c r="C59" s="6" t="s">
        <v>66</v>
      </c>
    </row>
    <row r="61" spans="1:3" ht="15.75" thickBot="1" x14ac:dyDescent="0.3">
      <c r="C61" s="14">
        <f>100000*5%</f>
        <v>5000</v>
      </c>
    </row>
    <row r="62" spans="1:3" ht="15.75" thickTop="1" x14ac:dyDescent="0.25"/>
    <row r="63" spans="1:3" x14ac:dyDescent="0.25">
      <c r="A63" s="4" t="s">
        <v>35</v>
      </c>
      <c r="B63" s="1" t="s">
        <v>67</v>
      </c>
    </row>
    <row r="65" spans="2:3" x14ac:dyDescent="0.25">
      <c r="B65" s="1" t="s">
        <v>70</v>
      </c>
      <c r="C65" s="6" t="s">
        <v>71</v>
      </c>
    </row>
    <row r="67" spans="2:3" x14ac:dyDescent="0.25">
      <c r="C67" s="6" t="s">
        <v>72</v>
      </c>
    </row>
    <row r="69" spans="2:3" ht="15.75" thickBot="1" x14ac:dyDescent="0.3">
      <c r="C69" s="14">
        <f>162000*4%</f>
        <v>6480</v>
      </c>
    </row>
    <row r="70" spans="2:3" ht="15.75" thickTop="1" x14ac:dyDescent="0.25"/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4F83-DEBD-4790-BE16-28B6FA732AFF}">
  <dimension ref="A2:E56"/>
  <sheetViews>
    <sheetView workbookViewId="0">
      <selection activeCell="D51" sqref="D51"/>
    </sheetView>
  </sheetViews>
  <sheetFormatPr defaultRowHeight="15" x14ac:dyDescent="0.25"/>
  <cols>
    <col min="2" max="2" width="26.28515625" customWidth="1"/>
    <col min="3" max="3" width="29.7109375" style="6" customWidth="1"/>
  </cols>
  <sheetData>
    <row r="2" spans="1:3" ht="15.75" x14ac:dyDescent="0.25">
      <c r="A2" s="40" t="s">
        <v>74</v>
      </c>
      <c r="B2" s="40"/>
      <c r="C2" s="40"/>
    </row>
    <row r="6" spans="1:3" x14ac:dyDescent="0.25">
      <c r="A6" s="36" t="s">
        <v>47</v>
      </c>
      <c r="C6" s="7" t="s">
        <v>63</v>
      </c>
    </row>
    <row r="7" spans="1:3" x14ac:dyDescent="0.25">
      <c r="B7" t="s">
        <v>48</v>
      </c>
    </row>
    <row r="8" spans="1:3" x14ac:dyDescent="0.25">
      <c r="B8" s="1" t="s">
        <v>49</v>
      </c>
      <c r="C8" s="26" t="s">
        <v>62</v>
      </c>
    </row>
    <row r="10" spans="1:3" x14ac:dyDescent="0.25">
      <c r="A10" s="4" t="s">
        <v>6</v>
      </c>
      <c r="B10" s="1" t="s">
        <v>51</v>
      </c>
      <c r="C10" s="6" t="s">
        <v>50</v>
      </c>
    </row>
    <row r="12" spans="1:3" ht="15.75" thickBot="1" x14ac:dyDescent="0.3">
      <c r="C12" s="14">
        <f>100000*25%</f>
        <v>25000</v>
      </c>
    </row>
    <row r="13" spans="1:3" ht="15.75" thickTop="1" x14ac:dyDescent="0.25"/>
    <row r="14" spans="1:3" x14ac:dyDescent="0.25">
      <c r="A14" s="4" t="s">
        <v>7</v>
      </c>
      <c r="B14" s="1" t="s">
        <v>52</v>
      </c>
      <c r="C14" s="6" t="s">
        <v>75</v>
      </c>
    </row>
    <row r="16" spans="1:3" ht="15.75" thickBot="1" x14ac:dyDescent="0.3">
      <c r="C16" s="14">
        <f>100000*3%</f>
        <v>3000</v>
      </c>
    </row>
    <row r="17" spans="1:5" ht="15.75" thickTop="1" x14ac:dyDescent="0.25"/>
    <row r="18" spans="1:5" x14ac:dyDescent="0.25">
      <c r="A18" s="4" t="s">
        <v>11</v>
      </c>
      <c r="B18" s="1" t="s">
        <v>59</v>
      </c>
    </row>
    <row r="20" spans="1:5" x14ac:dyDescent="0.25">
      <c r="B20" s="1" t="s">
        <v>54</v>
      </c>
      <c r="C20" s="7" t="s">
        <v>55</v>
      </c>
    </row>
    <row r="22" spans="1:5" x14ac:dyDescent="0.25">
      <c r="C22" s="6" t="s">
        <v>76</v>
      </c>
    </row>
    <row r="24" spans="1:5" ht="15.75" thickBot="1" x14ac:dyDescent="0.3">
      <c r="C24" s="14">
        <f>100000+25000+3000</f>
        <v>128000</v>
      </c>
    </row>
    <row r="25" spans="1:5" ht="15.75" thickTop="1" x14ac:dyDescent="0.25"/>
    <row r="26" spans="1:5" x14ac:dyDescent="0.25">
      <c r="A26" s="29" t="s">
        <v>23</v>
      </c>
      <c r="B26" s="30" t="s">
        <v>58</v>
      </c>
      <c r="C26" s="31" t="s">
        <v>149</v>
      </c>
      <c r="D26" s="32" t="s">
        <v>79</v>
      </c>
      <c r="E26" s="32"/>
    </row>
    <row r="27" spans="1:5" x14ac:dyDescent="0.25">
      <c r="A27" s="29"/>
      <c r="B27" s="29"/>
      <c r="C27" s="30"/>
      <c r="D27" s="29"/>
    </row>
    <row r="28" spans="1:5" ht="15.75" thickBot="1" x14ac:dyDescent="0.3">
      <c r="C28" s="15">
        <f>128000*200%</f>
        <v>256000</v>
      </c>
    </row>
    <row r="29" spans="1:5" ht="15.75" thickTop="1" x14ac:dyDescent="0.25"/>
    <row r="30" spans="1:5" x14ac:dyDescent="0.25">
      <c r="A30" s="4" t="s">
        <v>20</v>
      </c>
      <c r="B30" t="s">
        <v>68</v>
      </c>
    </row>
    <row r="32" spans="1:5" x14ac:dyDescent="0.25">
      <c r="B32" s="1" t="s">
        <v>60</v>
      </c>
      <c r="C32" s="7" t="s">
        <v>31</v>
      </c>
    </row>
    <row r="34" spans="1:3" x14ac:dyDescent="0.25">
      <c r="C34" s="6" t="s">
        <v>150</v>
      </c>
    </row>
    <row r="36" spans="1:3" x14ac:dyDescent="0.25">
      <c r="C36" s="28">
        <f>100000+25000+3000+256000</f>
        <v>384000</v>
      </c>
    </row>
    <row r="38" spans="1:3" ht="15.75" thickBot="1" x14ac:dyDescent="0.3">
      <c r="A38" t="s">
        <v>10</v>
      </c>
      <c r="B38" s="1" t="s">
        <v>69</v>
      </c>
      <c r="C38" s="15">
        <f>C36*15%</f>
        <v>57600</v>
      </c>
    </row>
    <row r="39" spans="1:3" ht="15.75" thickTop="1" x14ac:dyDescent="0.25"/>
    <row r="40" spans="1:3" x14ac:dyDescent="0.25">
      <c r="A40" s="4" t="s">
        <v>29</v>
      </c>
    </row>
    <row r="41" spans="1:3" x14ac:dyDescent="0.25">
      <c r="B41" s="1" t="s">
        <v>64</v>
      </c>
    </row>
    <row r="43" spans="1:3" x14ac:dyDescent="0.25">
      <c r="B43" s="1" t="s">
        <v>36</v>
      </c>
      <c r="C43" s="7" t="s">
        <v>65</v>
      </c>
    </row>
    <row r="45" spans="1:3" x14ac:dyDescent="0.25">
      <c r="C45" s="6" t="s">
        <v>77</v>
      </c>
    </row>
    <row r="47" spans="1:3" ht="15.75" thickBot="1" x14ac:dyDescent="0.3">
      <c r="C47" s="14">
        <f>100000*5%</f>
        <v>5000</v>
      </c>
    </row>
    <row r="48" spans="1:3" ht="15.75" thickTop="1" x14ac:dyDescent="0.25"/>
    <row r="49" spans="1:3" x14ac:dyDescent="0.25">
      <c r="A49" s="4" t="s">
        <v>35</v>
      </c>
      <c r="B49" s="1" t="s">
        <v>67</v>
      </c>
    </row>
    <row r="51" spans="1:3" x14ac:dyDescent="0.25">
      <c r="B51" s="1" t="s">
        <v>70</v>
      </c>
      <c r="C51" s="6" t="s">
        <v>71</v>
      </c>
    </row>
    <row r="53" spans="1:3" x14ac:dyDescent="0.25">
      <c r="C53" s="6" t="s">
        <v>78</v>
      </c>
    </row>
    <row r="55" spans="1:3" ht="15.75" thickBot="1" x14ac:dyDescent="0.3">
      <c r="C55" s="14">
        <f>153600*4%</f>
        <v>6144</v>
      </c>
    </row>
    <row r="56" spans="1:3" ht="15.75" thickTop="1" x14ac:dyDescent="0.25"/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25E8-B1B2-466D-9030-BC8EBB5B75F4}">
  <dimension ref="A2:E57"/>
  <sheetViews>
    <sheetView tabSelected="1" workbookViewId="0">
      <selection activeCell="A7" sqref="A7"/>
    </sheetView>
  </sheetViews>
  <sheetFormatPr defaultRowHeight="15" x14ac:dyDescent="0.25"/>
  <cols>
    <col min="2" max="2" width="26.28515625" customWidth="1"/>
    <col min="3" max="3" width="29.7109375" style="6" customWidth="1"/>
  </cols>
  <sheetData>
    <row r="2" spans="1:3" ht="15.75" x14ac:dyDescent="0.25">
      <c r="A2" s="40" t="s">
        <v>80</v>
      </c>
      <c r="B2" s="40"/>
      <c r="C2" s="40"/>
    </row>
    <row r="4" spans="1:3" x14ac:dyDescent="0.25">
      <c r="A4" s="41" t="s">
        <v>81</v>
      </c>
      <c r="B4" s="41"/>
      <c r="C4" s="41"/>
    </row>
    <row r="7" spans="1:3" x14ac:dyDescent="0.25">
      <c r="A7" s="36" t="s">
        <v>47</v>
      </c>
      <c r="C7" s="7" t="s">
        <v>63</v>
      </c>
    </row>
    <row r="8" spans="1:3" x14ac:dyDescent="0.25">
      <c r="B8" t="s">
        <v>48</v>
      </c>
    </row>
    <row r="9" spans="1:3" x14ac:dyDescent="0.25">
      <c r="B9" s="1" t="s">
        <v>49</v>
      </c>
      <c r="C9" s="26">
        <v>200000</v>
      </c>
    </row>
    <row r="11" spans="1:3" x14ac:dyDescent="0.25">
      <c r="A11" s="4" t="s">
        <v>6</v>
      </c>
      <c r="B11" s="1" t="s">
        <v>85</v>
      </c>
      <c r="C11" s="6" t="s">
        <v>82</v>
      </c>
    </row>
    <row r="13" spans="1:3" ht="15.75" thickBot="1" x14ac:dyDescent="0.3">
      <c r="C13" s="14">
        <f>200000*25%</f>
        <v>50000</v>
      </c>
    </row>
    <row r="14" spans="1:3" ht="15.75" thickTop="1" x14ac:dyDescent="0.25"/>
    <row r="15" spans="1:3" x14ac:dyDescent="0.25">
      <c r="A15" s="4" t="s">
        <v>7</v>
      </c>
      <c r="B15" s="1" t="s">
        <v>92</v>
      </c>
      <c r="C15" s="6" t="s">
        <v>83</v>
      </c>
    </row>
    <row r="17" spans="1:5" ht="15.75" thickBot="1" x14ac:dyDescent="0.3">
      <c r="C17" s="14">
        <f>200000*3%</f>
        <v>6000</v>
      </c>
    </row>
    <row r="18" spans="1:5" ht="15.75" thickTop="1" x14ac:dyDescent="0.25"/>
    <row r="19" spans="1:5" x14ac:dyDescent="0.25">
      <c r="A19" s="4" t="s">
        <v>11</v>
      </c>
      <c r="B19" s="1" t="s">
        <v>84</v>
      </c>
    </row>
    <row r="21" spans="1:5" x14ac:dyDescent="0.25">
      <c r="B21" s="1" t="s">
        <v>54</v>
      </c>
      <c r="C21" s="7" t="s">
        <v>55</v>
      </c>
    </row>
    <row r="23" spans="1:5" x14ac:dyDescent="0.25">
      <c r="C23" s="6" t="s">
        <v>86</v>
      </c>
    </row>
    <row r="25" spans="1:5" ht="15.75" thickBot="1" x14ac:dyDescent="0.3">
      <c r="C25" s="14">
        <f>200000+50000+6000</f>
        <v>256000</v>
      </c>
    </row>
    <row r="26" spans="1:5" ht="15.75" thickTop="1" x14ac:dyDescent="0.25"/>
    <row r="27" spans="1:5" x14ac:dyDescent="0.25">
      <c r="A27" t="s">
        <v>23</v>
      </c>
      <c r="B27" s="6" t="s">
        <v>58</v>
      </c>
      <c r="C27" s="25" t="s">
        <v>87</v>
      </c>
      <c r="D27" s="1"/>
      <c r="E27" s="1"/>
    </row>
    <row r="28" spans="1:5" x14ac:dyDescent="0.25">
      <c r="A28" s="29"/>
      <c r="B28" s="29"/>
      <c r="C28" s="30"/>
      <c r="D28" s="29"/>
    </row>
    <row r="29" spans="1:5" ht="15.75" thickBot="1" x14ac:dyDescent="0.3">
      <c r="C29" s="15">
        <f>256000*45%</f>
        <v>115200</v>
      </c>
    </row>
    <row r="30" spans="1:5" ht="15.75" thickTop="1" x14ac:dyDescent="0.25"/>
    <row r="31" spans="1:5" x14ac:dyDescent="0.25">
      <c r="A31" s="4" t="s">
        <v>20</v>
      </c>
      <c r="B31" t="s">
        <v>68</v>
      </c>
    </row>
    <row r="33" spans="1:3" x14ac:dyDescent="0.25">
      <c r="B33" s="1" t="s">
        <v>60</v>
      </c>
      <c r="C33" s="7" t="s">
        <v>31</v>
      </c>
    </row>
    <row r="35" spans="1:3" x14ac:dyDescent="0.25">
      <c r="C35" s="6" t="s">
        <v>88</v>
      </c>
    </row>
    <row r="37" spans="1:3" x14ac:dyDescent="0.25">
      <c r="C37" s="28">
        <f>200000+50000+6000+115200</f>
        <v>371200</v>
      </c>
    </row>
    <row r="39" spans="1:3" ht="15.75" thickBot="1" x14ac:dyDescent="0.3">
      <c r="A39" t="s">
        <v>10</v>
      </c>
      <c r="B39" s="1" t="s">
        <v>69</v>
      </c>
      <c r="C39" s="15">
        <f>C37*15%</f>
        <v>55680</v>
      </c>
    </row>
    <row r="40" spans="1:3" ht="15.75" thickTop="1" x14ac:dyDescent="0.25"/>
    <row r="41" spans="1:3" x14ac:dyDescent="0.25">
      <c r="A41" s="4" t="s">
        <v>29</v>
      </c>
    </row>
    <row r="42" spans="1:3" x14ac:dyDescent="0.25">
      <c r="B42" s="1" t="s">
        <v>64</v>
      </c>
    </row>
    <row r="44" spans="1:3" x14ac:dyDescent="0.25">
      <c r="B44" s="1" t="s">
        <v>36</v>
      </c>
      <c r="C44" s="7" t="s">
        <v>65</v>
      </c>
    </row>
    <row r="46" spans="1:3" x14ac:dyDescent="0.25">
      <c r="C46" s="6" t="s">
        <v>89</v>
      </c>
    </row>
    <row r="48" spans="1:3" ht="15.75" thickBot="1" x14ac:dyDescent="0.3">
      <c r="C48" s="14">
        <f>100000*5%</f>
        <v>5000</v>
      </c>
    </row>
    <row r="49" spans="1:3" ht="15.75" thickTop="1" x14ac:dyDescent="0.25"/>
    <row r="50" spans="1:3" x14ac:dyDescent="0.25">
      <c r="A50" s="4" t="s">
        <v>35</v>
      </c>
      <c r="B50" s="1" t="s">
        <v>91</v>
      </c>
    </row>
    <row r="52" spans="1:3" x14ac:dyDescent="0.25">
      <c r="B52" s="1" t="s">
        <v>70</v>
      </c>
      <c r="C52" s="6" t="s">
        <v>71</v>
      </c>
    </row>
    <row r="54" spans="1:3" x14ac:dyDescent="0.25">
      <c r="C54" s="6" t="s">
        <v>90</v>
      </c>
    </row>
    <row r="56" spans="1:3" ht="15.75" thickBot="1" x14ac:dyDescent="0.3">
      <c r="C56" s="14">
        <f>C37*5%</f>
        <v>18560</v>
      </c>
    </row>
    <row r="57" spans="1:3" ht="15.75" thickTop="1" x14ac:dyDescent="0.25"/>
  </sheetData>
  <mergeCells count="2">
    <mergeCell ref="A4:C4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EB90-7BF3-4E18-9F54-DCD53B4C0CA7}">
  <dimension ref="A2:E73"/>
  <sheetViews>
    <sheetView topLeftCell="A57" workbookViewId="0">
      <selection activeCell="C56" sqref="C56"/>
    </sheetView>
  </sheetViews>
  <sheetFormatPr defaultRowHeight="15" x14ac:dyDescent="0.25"/>
  <cols>
    <col min="2" max="2" width="22" customWidth="1"/>
    <col min="3" max="3" width="39.85546875" style="11" customWidth="1"/>
    <col min="4" max="5" width="14.28515625" bestFit="1" customWidth="1"/>
  </cols>
  <sheetData>
    <row r="2" spans="1:5" ht="15.75" x14ac:dyDescent="0.25">
      <c r="A2" s="39" t="s">
        <v>93</v>
      </c>
      <c r="B2" s="39"/>
      <c r="C2" s="39"/>
      <c r="D2" s="39"/>
    </row>
    <row r="4" spans="1:5" x14ac:dyDescent="0.25">
      <c r="A4" s="5" t="s">
        <v>6</v>
      </c>
      <c r="B4" s="1" t="s">
        <v>0</v>
      </c>
    </row>
    <row r="6" spans="1:5" ht="60" x14ac:dyDescent="0.25">
      <c r="B6" s="1" t="s">
        <v>1</v>
      </c>
      <c r="C6" s="16" t="s">
        <v>2</v>
      </c>
    </row>
    <row r="8" spans="1:5" x14ac:dyDescent="0.25">
      <c r="B8" s="1" t="s">
        <v>3</v>
      </c>
      <c r="C8" s="17" t="s">
        <v>28</v>
      </c>
      <c r="D8" s="2"/>
      <c r="E8" s="2"/>
    </row>
    <row r="9" spans="1:5" x14ac:dyDescent="0.25">
      <c r="D9" s="2"/>
      <c r="E9" s="2"/>
    </row>
    <row r="10" spans="1:5" x14ac:dyDescent="0.25">
      <c r="B10" s="7" t="s">
        <v>14</v>
      </c>
      <c r="C10" s="34">
        <f>80000000+900000</f>
        <v>80900000</v>
      </c>
      <c r="D10" s="2"/>
      <c r="E10" s="2"/>
    </row>
    <row r="11" spans="1:5" x14ac:dyDescent="0.25">
      <c r="E11" s="38"/>
    </row>
    <row r="12" spans="1:5" x14ac:dyDescent="0.25">
      <c r="A12" t="s">
        <v>4</v>
      </c>
      <c r="B12" s="8" t="s">
        <v>1</v>
      </c>
      <c r="C12" s="11" t="s">
        <v>18</v>
      </c>
    </row>
    <row r="14" spans="1:5" ht="15.75" thickBot="1" x14ac:dyDescent="0.3">
      <c r="B14" s="1" t="s">
        <v>5</v>
      </c>
      <c r="C14" s="19">
        <f>80900000+80900000*1%</f>
        <v>81709000</v>
      </c>
    </row>
    <row r="15" spans="1:5" ht="15.75" thickTop="1" x14ac:dyDescent="0.25"/>
    <row r="16" spans="1:5" x14ac:dyDescent="0.25">
      <c r="A16" s="5" t="s">
        <v>7</v>
      </c>
      <c r="B16" s="1" t="s">
        <v>13</v>
      </c>
    </row>
    <row r="18" spans="1:3" x14ac:dyDescent="0.25">
      <c r="B18" s="8" t="s">
        <v>8</v>
      </c>
      <c r="C18" s="8" t="s">
        <v>9</v>
      </c>
    </row>
    <row r="20" spans="1:3" ht="15.75" x14ac:dyDescent="0.25">
      <c r="B20" s="9" t="s">
        <v>14</v>
      </c>
      <c r="C20" s="20" t="s">
        <v>17</v>
      </c>
    </row>
    <row r="22" spans="1:3" ht="15.75" thickBot="1" x14ac:dyDescent="0.3">
      <c r="A22" s="1" t="s">
        <v>10</v>
      </c>
      <c r="B22" s="1" t="s">
        <v>8</v>
      </c>
      <c r="C22" s="19">
        <f>81709000*10%</f>
        <v>8170900</v>
      </c>
    </row>
    <row r="23" spans="1:3" ht="15.75" thickTop="1" x14ac:dyDescent="0.25"/>
    <row r="25" spans="1:3" x14ac:dyDescent="0.25">
      <c r="A25" s="4" t="s">
        <v>11</v>
      </c>
      <c r="B25" s="1" t="s">
        <v>12</v>
      </c>
    </row>
    <row r="27" spans="1:3" x14ac:dyDescent="0.25">
      <c r="B27" s="1" t="s">
        <v>15</v>
      </c>
      <c r="C27" s="8" t="s">
        <v>16</v>
      </c>
    </row>
    <row r="29" spans="1:3" ht="15.75" thickBot="1" x14ac:dyDescent="0.3">
      <c r="B29" s="7" t="s">
        <v>14</v>
      </c>
      <c r="C29" s="19">
        <f>81709000*5%</f>
        <v>4085450</v>
      </c>
    </row>
    <row r="30" spans="1:3" ht="15.75" thickTop="1" x14ac:dyDescent="0.25"/>
    <row r="31" spans="1:3" x14ac:dyDescent="0.25">
      <c r="A31" s="4" t="s">
        <v>20</v>
      </c>
      <c r="B31" s="1" t="s">
        <v>19</v>
      </c>
    </row>
    <row r="33" spans="1:5" x14ac:dyDescent="0.25">
      <c r="A33" t="s">
        <v>23</v>
      </c>
      <c r="B33" s="1" t="s">
        <v>21</v>
      </c>
      <c r="C33" s="11" t="s">
        <v>22</v>
      </c>
    </row>
    <row r="35" spans="1:5" x14ac:dyDescent="0.25">
      <c r="C35" s="10" t="s">
        <v>27</v>
      </c>
    </row>
    <row r="37" spans="1:5" ht="15.75" x14ac:dyDescent="0.25">
      <c r="B37" s="9" t="s">
        <v>14</v>
      </c>
      <c r="C37" s="10">
        <f>81709000+8170900+4085450</f>
        <v>93965350</v>
      </c>
      <c r="E37" s="12"/>
    </row>
    <row r="39" spans="1:5" x14ac:dyDescent="0.25">
      <c r="A39" t="s">
        <v>24</v>
      </c>
    </row>
    <row r="40" spans="1:5" x14ac:dyDescent="0.25">
      <c r="B40" s="1" t="s">
        <v>25</v>
      </c>
      <c r="C40" s="11" t="s">
        <v>26</v>
      </c>
    </row>
    <row r="42" spans="1:5" ht="15.75" thickBot="1" x14ac:dyDescent="0.3">
      <c r="C42" s="21">
        <f>C37*10%</f>
        <v>9396535</v>
      </c>
    </row>
    <row r="43" spans="1:5" ht="15.75" thickTop="1" x14ac:dyDescent="0.25"/>
    <row r="46" spans="1:5" x14ac:dyDescent="0.25">
      <c r="A46" s="4" t="s">
        <v>29</v>
      </c>
      <c r="B46" s="1" t="s">
        <v>34</v>
      </c>
    </row>
    <row r="48" spans="1:5" x14ac:dyDescent="0.25">
      <c r="B48" s="8" t="s">
        <v>30</v>
      </c>
      <c r="C48" s="8" t="s">
        <v>31</v>
      </c>
    </row>
    <row r="50" spans="1:3" x14ac:dyDescent="0.25">
      <c r="B50" s="7" t="s">
        <v>14</v>
      </c>
      <c r="C50" s="17" t="s">
        <v>148</v>
      </c>
    </row>
    <row r="52" spans="1:3" x14ac:dyDescent="0.25">
      <c r="C52" s="22">
        <f>C14+C22+C29+C42</f>
        <v>103361885</v>
      </c>
    </row>
    <row r="53" spans="1:3" x14ac:dyDescent="0.25">
      <c r="C53" s="22"/>
    </row>
    <row r="54" spans="1:3" x14ac:dyDescent="0.25">
      <c r="A54" t="s">
        <v>23</v>
      </c>
    </row>
    <row r="55" spans="1:3" ht="15.75" thickBot="1" x14ac:dyDescent="0.3">
      <c r="B55" s="1" t="s">
        <v>33</v>
      </c>
      <c r="C55" s="23">
        <f>C52*15%</f>
        <v>15504282.75</v>
      </c>
    </row>
    <row r="56" spans="1:3" ht="15.75" thickTop="1" x14ac:dyDescent="0.25"/>
    <row r="57" spans="1:3" x14ac:dyDescent="0.25">
      <c r="A57" s="4" t="s">
        <v>35</v>
      </c>
      <c r="B57" s="1" t="s">
        <v>37</v>
      </c>
    </row>
    <row r="59" spans="1:3" x14ac:dyDescent="0.25">
      <c r="B59" s="1" t="s">
        <v>36</v>
      </c>
      <c r="C59" s="8" t="s">
        <v>38</v>
      </c>
    </row>
    <row r="61" spans="1:3" x14ac:dyDescent="0.25">
      <c r="B61" s="7" t="s">
        <v>14</v>
      </c>
      <c r="C61" s="11" t="s">
        <v>16</v>
      </c>
    </row>
    <row r="63" spans="1:3" ht="15.75" thickBot="1" x14ac:dyDescent="0.3">
      <c r="C63" s="19">
        <f>81709000*5%</f>
        <v>4085450</v>
      </c>
    </row>
    <row r="64" spans="1:3" ht="15.75" thickTop="1" x14ac:dyDescent="0.25"/>
    <row r="66" spans="1:3" x14ac:dyDescent="0.25">
      <c r="A66" s="4" t="s">
        <v>94</v>
      </c>
      <c r="B66" s="1" t="s">
        <v>91</v>
      </c>
      <c r="C66" s="6"/>
    </row>
    <row r="67" spans="1:3" x14ac:dyDescent="0.25">
      <c r="C67" s="6"/>
    </row>
    <row r="68" spans="1:3" x14ac:dyDescent="0.25">
      <c r="B68" s="1" t="s">
        <v>70</v>
      </c>
      <c r="C68" s="6" t="s">
        <v>71</v>
      </c>
    </row>
    <row r="69" spans="1:3" x14ac:dyDescent="0.25">
      <c r="C69" s="6"/>
    </row>
    <row r="70" spans="1:3" x14ac:dyDescent="0.25">
      <c r="C70" s="6" t="s">
        <v>95</v>
      </c>
    </row>
    <row r="71" spans="1:3" x14ac:dyDescent="0.25">
      <c r="C71" s="6"/>
    </row>
    <row r="72" spans="1:3" ht="15.75" thickBot="1" x14ac:dyDescent="0.3">
      <c r="C72" s="14">
        <f>103361885*5%</f>
        <v>5168094.25</v>
      </c>
    </row>
    <row r="73" spans="1:3" ht="15.75" thickTop="1" x14ac:dyDescent="0.25"/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EEE6-4284-4267-9859-16602219D5B9}">
  <dimension ref="A2:D34"/>
  <sheetViews>
    <sheetView topLeftCell="A21" workbookViewId="0">
      <selection activeCell="G31" sqref="G31"/>
    </sheetView>
  </sheetViews>
  <sheetFormatPr defaultRowHeight="15" x14ac:dyDescent="0.25"/>
  <cols>
    <col min="2" max="2" width="34.7109375" customWidth="1"/>
    <col min="3" max="3" width="12.5703125" bestFit="1" customWidth="1"/>
    <col min="4" max="4" width="9.5703125" bestFit="1" customWidth="1"/>
  </cols>
  <sheetData>
    <row r="2" spans="1:4" ht="15.75" x14ac:dyDescent="0.25">
      <c r="A2" s="40" t="s">
        <v>96</v>
      </c>
      <c r="B2" s="40"/>
      <c r="C2" s="40"/>
      <c r="D2" s="40"/>
    </row>
    <row r="4" spans="1:4" x14ac:dyDescent="0.25">
      <c r="A4" s="35" t="s">
        <v>7</v>
      </c>
    </row>
    <row r="7" spans="1:4" x14ac:dyDescent="0.25">
      <c r="A7" t="s">
        <v>99</v>
      </c>
      <c r="B7" s="1" t="s">
        <v>97</v>
      </c>
    </row>
    <row r="8" spans="1:4" x14ac:dyDescent="0.25">
      <c r="A8" t="s">
        <v>100</v>
      </c>
      <c r="B8" s="1" t="s">
        <v>98</v>
      </c>
    </row>
    <row r="9" spans="1:4" x14ac:dyDescent="0.25">
      <c r="A9" t="s">
        <v>101</v>
      </c>
      <c r="B9" s="1" t="s">
        <v>102</v>
      </c>
    </row>
    <row r="12" spans="1:4" x14ac:dyDescent="0.25">
      <c r="A12" s="1" t="s">
        <v>103</v>
      </c>
      <c r="B12" s="1" t="s">
        <v>104</v>
      </c>
      <c r="D12" t="s">
        <v>63</v>
      </c>
    </row>
    <row r="14" spans="1:4" x14ac:dyDescent="0.25">
      <c r="B14" s="1" t="s">
        <v>105</v>
      </c>
      <c r="C14" t="s">
        <v>106</v>
      </c>
    </row>
    <row r="15" spans="1:4" x14ac:dyDescent="0.25">
      <c r="B15" s="1" t="s">
        <v>107</v>
      </c>
      <c r="C15" t="s">
        <v>113</v>
      </c>
      <c r="D15">
        <f>1000*15%</f>
        <v>150</v>
      </c>
    </row>
    <row r="16" spans="1:4" x14ac:dyDescent="0.25">
      <c r="B16" s="1" t="s">
        <v>108</v>
      </c>
      <c r="C16" t="s">
        <v>117</v>
      </c>
      <c r="D16" s="33">
        <v>1150</v>
      </c>
    </row>
    <row r="19" spans="1:4" x14ac:dyDescent="0.25">
      <c r="A19" s="1" t="s">
        <v>125</v>
      </c>
      <c r="B19" s="1" t="s">
        <v>109</v>
      </c>
    </row>
    <row r="21" spans="1:4" x14ac:dyDescent="0.25">
      <c r="B21" s="1" t="s">
        <v>110</v>
      </c>
      <c r="C21" t="s">
        <v>112</v>
      </c>
    </row>
    <row r="22" spans="1:4" x14ac:dyDescent="0.25">
      <c r="B22" s="1" t="s">
        <v>111</v>
      </c>
      <c r="C22" t="s">
        <v>116</v>
      </c>
      <c r="D22" s="3">
        <v>1500</v>
      </c>
    </row>
    <row r="23" spans="1:4" x14ac:dyDescent="0.25">
      <c r="B23" s="1" t="s">
        <v>107</v>
      </c>
      <c r="C23" t="s">
        <v>114</v>
      </c>
      <c r="D23" s="3">
        <f>500*15%</f>
        <v>75</v>
      </c>
    </row>
    <row r="24" spans="1:4" x14ac:dyDescent="0.25">
      <c r="B24" s="1" t="s">
        <v>108</v>
      </c>
      <c r="C24" t="s">
        <v>115</v>
      </c>
      <c r="D24" s="3">
        <f>1575</f>
        <v>1575</v>
      </c>
    </row>
    <row r="25" spans="1:4" x14ac:dyDescent="0.25">
      <c r="B25" s="1" t="s">
        <v>118</v>
      </c>
      <c r="C25" t="s">
        <v>119</v>
      </c>
      <c r="D25" s="3">
        <f>150+75</f>
        <v>225</v>
      </c>
    </row>
    <row r="28" spans="1:4" x14ac:dyDescent="0.25">
      <c r="A28" s="1" t="s">
        <v>120</v>
      </c>
      <c r="B28" s="1" t="s">
        <v>121</v>
      </c>
    </row>
    <row r="30" spans="1:4" x14ac:dyDescent="0.25">
      <c r="B30" s="1" t="s">
        <v>110</v>
      </c>
      <c r="C30" t="s">
        <v>112</v>
      </c>
    </row>
    <row r="31" spans="1:4" x14ac:dyDescent="0.25">
      <c r="B31" s="1" t="s">
        <v>111</v>
      </c>
      <c r="C31" t="s">
        <v>122</v>
      </c>
      <c r="D31" s="3">
        <v>2000</v>
      </c>
    </row>
    <row r="32" spans="1:4" x14ac:dyDescent="0.25">
      <c r="B32" s="1" t="s">
        <v>107</v>
      </c>
      <c r="C32" t="s">
        <v>114</v>
      </c>
      <c r="D32" s="3">
        <f>500*15%</f>
        <v>75</v>
      </c>
    </row>
    <row r="33" spans="2:4" x14ac:dyDescent="0.25">
      <c r="B33" s="1" t="s">
        <v>108</v>
      </c>
      <c r="C33" t="s">
        <v>123</v>
      </c>
      <c r="D33" s="3">
        <v>2075</v>
      </c>
    </row>
    <row r="34" spans="2:4" x14ac:dyDescent="0.25">
      <c r="B34" s="1" t="s">
        <v>118</v>
      </c>
      <c r="C34" t="s">
        <v>124</v>
      </c>
      <c r="D34" s="3">
        <f>150+75+75</f>
        <v>300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1046-B5DF-4176-999C-0F209C82A1A6}">
  <dimension ref="A2:E99"/>
  <sheetViews>
    <sheetView topLeftCell="A43" workbookViewId="0">
      <selection activeCell="C55" sqref="C55"/>
    </sheetView>
  </sheetViews>
  <sheetFormatPr defaultRowHeight="15" x14ac:dyDescent="0.25"/>
  <cols>
    <col min="2" max="2" width="26.28515625" customWidth="1"/>
    <col min="3" max="3" width="29.7109375" style="6" customWidth="1"/>
  </cols>
  <sheetData>
    <row r="2" spans="1:3" ht="18.75" x14ac:dyDescent="0.3">
      <c r="A2" s="42" t="s">
        <v>134</v>
      </c>
      <c r="B2" s="42"/>
      <c r="C2" s="42"/>
    </row>
    <row r="6" spans="1:3" x14ac:dyDescent="0.25">
      <c r="A6" s="36" t="s">
        <v>135</v>
      </c>
      <c r="C6" s="7" t="s">
        <v>63</v>
      </c>
    </row>
    <row r="7" spans="1:3" x14ac:dyDescent="0.25">
      <c r="B7" t="s">
        <v>48</v>
      </c>
    </row>
    <row r="8" spans="1:3" x14ac:dyDescent="0.25">
      <c r="B8" s="1" t="s">
        <v>49</v>
      </c>
      <c r="C8" s="26">
        <v>10000</v>
      </c>
    </row>
    <row r="10" spans="1:3" x14ac:dyDescent="0.25">
      <c r="A10" s="4" t="s">
        <v>6</v>
      </c>
      <c r="B10" s="1" t="s">
        <v>131</v>
      </c>
      <c r="C10" s="6" t="s">
        <v>126</v>
      </c>
    </row>
    <row r="12" spans="1:3" ht="15.75" thickBot="1" x14ac:dyDescent="0.3">
      <c r="C12" s="14">
        <f>10000*50%</f>
        <v>5000</v>
      </c>
    </row>
    <row r="13" spans="1:3" ht="15.75" thickTop="1" x14ac:dyDescent="0.25"/>
    <row r="14" spans="1:3" x14ac:dyDescent="0.25">
      <c r="A14" s="4" t="s">
        <v>7</v>
      </c>
      <c r="B14" s="1" t="s">
        <v>127</v>
      </c>
      <c r="C14" s="6" t="s">
        <v>128</v>
      </c>
    </row>
    <row r="16" spans="1:3" ht="15.75" thickBot="1" x14ac:dyDescent="0.3">
      <c r="C16" s="14">
        <f>10000*30%</f>
        <v>3000</v>
      </c>
    </row>
    <row r="17" spans="1:5" ht="15.75" thickTop="1" x14ac:dyDescent="0.25"/>
    <row r="18" spans="1:5" x14ac:dyDescent="0.25">
      <c r="A18" s="4" t="s">
        <v>11</v>
      </c>
      <c r="B18" s="1" t="s">
        <v>129</v>
      </c>
    </row>
    <row r="20" spans="1:5" x14ac:dyDescent="0.25">
      <c r="B20" s="1" t="s">
        <v>54</v>
      </c>
      <c r="C20" s="7" t="s">
        <v>55</v>
      </c>
    </row>
    <row r="22" spans="1:5" x14ac:dyDescent="0.25">
      <c r="C22" s="6" t="s">
        <v>130</v>
      </c>
    </row>
    <row r="24" spans="1:5" ht="15.75" thickBot="1" x14ac:dyDescent="0.3">
      <c r="C24" s="14">
        <f>10000+5000+3000</f>
        <v>18000</v>
      </c>
    </row>
    <row r="25" spans="1:5" ht="15.75" thickTop="1" x14ac:dyDescent="0.25"/>
    <row r="26" spans="1:5" x14ac:dyDescent="0.25">
      <c r="A26" t="s">
        <v>23</v>
      </c>
      <c r="B26" s="6" t="s">
        <v>58</v>
      </c>
      <c r="C26" s="25" t="s">
        <v>145</v>
      </c>
      <c r="D26" s="1"/>
      <c r="E26" s="1"/>
    </row>
    <row r="27" spans="1:5" x14ac:dyDescent="0.25">
      <c r="A27" s="29"/>
      <c r="B27" s="29"/>
      <c r="C27" s="30"/>
      <c r="D27" s="29"/>
    </row>
    <row r="28" spans="1:5" ht="15.75" thickBot="1" x14ac:dyDescent="0.3">
      <c r="C28" s="15">
        <f>C24*30%</f>
        <v>5400</v>
      </c>
    </row>
    <row r="29" spans="1:5" ht="15.75" thickTop="1" x14ac:dyDescent="0.25"/>
    <row r="30" spans="1:5" x14ac:dyDescent="0.25">
      <c r="A30" s="4" t="s">
        <v>20</v>
      </c>
      <c r="B30" t="s">
        <v>132</v>
      </c>
    </row>
    <row r="32" spans="1:5" x14ac:dyDescent="0.25">
      <c r="B32" s="1" t="s">
        <v>60</v>
      </c>
      <c r="C32" s="7" t="s">
        <v>31</v>
      </c>
    </row>
    <row r="34" spans="1:3" x14ac:dyDescent="0.25">
      <c r="C34" s="6" t="s">
        <v>146</v>
      </c>
    </row>
    <row r="36" spans="1:3" x14ac:dyDescent="0.25">
      <c r="C36" s="28">
        <f>10000+5000+3000+5400</f>
        <v>23400</v>
      </c>
    </row>
    <row r="38" spans="1:3" ht="15.75" thickBot="1" x14ac:dyDescent="0.3">
      <c r="A38" t="s">
        <v>10</v>
      </c>
      <c r="B38" s="1" t="s">
        <v>69</v>
      </c>
      <c r="C38" s="15">
        <f>C36*15%</f>
        <v>3510</v>
      </c>
    </row>
    <row r="39" spans="1:3" ht="15.75" thickTop="1" x14ac:dyDescent="0.25"/>
    <row r="40" spans="1:3" x14ac:dyDescent="0.25">
      <c r="A40" s="4" t="s">
        <v>29</v>
      </c>
    </row>
    <row r="41" spans="1:3" x14ac:dyDescent="0.25">
      <c r="B41" s="1" t="s">
        <v>64</v>
      </c>
    </row>
    <row r="43" spans="1:3" x14ac:dyDescent="0.25">
      <c r="B43" s="1" t="s">
        <v>36</v>
      </c>
      <c r="C43" s="7" t="s">
        <v>65</v>
      </c>
    </row>
    <row r="45" spans="1:3" x14ac:dyDescent="0.25">
      <c r="C45" s="6" t="s">
        <v>133</v>
      </c>
    </row>
    <row r="47" spans="1:3" ht="15.75" thickBot="1" x14ac:dyDescent="0.3">
      <c r="C47" s="14">
        <f>10000*5%</f>
        <v>500</v>
      </c>
    </row>
    <row r="48" spans="1:3" ht="15.75" thickTop="1" x14ac:dyDescent="0.25"/>
    <row r="49" spans="1:4" x14ac:dyDescent="0.25">
      <c r="A49" s="4" t="s">
        <v>35</v>
      </c>
      <c r="B49" s="1" t="s">
        <v>67</v>
      </c>
    </row>
    <row r="51" spans="1:4" x14ac:dyDescent="0.25">
      <c r="B51" s="1" t="s">
        <v>70</v>
      </c>
      <c r="C51" s="6" t="s">
        <v>71</v>
      </c>
    </row>
    <row r="53" spans="1:4" x14ac:dyDescent="0.25">
      <c r="C53" s="6" t="s">
        <v>147</v>
      </c>
    </row>
    <row r="55" spans="1:4" ht="15.75" thickBot="1" x14ac:dyDescent="0.3">
      <c r="C55" s="14">
        <f>C36*4%</f>
        <v>936</v>
      </c>
    </row>
    <row r="56" spans="1:4" ht="15.75" thickTop="1" x14ac:dyDescent="0.25"/>
    <row r="60" spans="1:4" x14ac:dyDescent="0.25">
      <c r="C60"/>
    </row>
    <row r="61" spans="1:4" ht="15.75" x14ac:dyDescent="0.25">
      <c r="A61" s="43"/>
      <c r="B61" s="43"/>
      <c r="C61" s="43"/>
      <c r="D61" s="43"/>
    </row>
    <row r="62" spans="1:4" x14ac:dyDescent="0.25">
      <c r="C62"/>
    </row>
    <row r="63" spans="1:4" x14ac:dyDescent="0.25">
      <c r="A63" s="35" t="s">
        <v>136</v>
      </c>
      <c r="C63"/>
    </row>
    <row r="64" spans="1:4" x14ac:dyDescent="0.25">
      <c r="C64"/>
    </row>
    <row r="65" spans="1:4" x14ac:dyDescent="0.25">
      <c r="C65"/>
    </row>
    <row r="66" spans="1:4" x14ac:dyDescent="0.25">
      <c r="A66" t="s">
        <v>99</v>
      </c>
      <c r="B66" s="1" t="s">
        <v>97</v>
      </c>
      <c r="C66"/>
    </row>
    <row r="67" spans="1:4" x14ac:dyDescent="0.25">
      <c r="A67" t="s">
        <v>100</v>
      </c>
      <c r="B67" s="1" t="s">
        <v>98</v>
      </c>
      <c r="C67"/>
    </row>
    <row r="68" spans="1:4" x14ac:dyDescent="0.25">
      <c r="A68" t="s">
        <v>101</v>
      </c>
      <c r="B68" s="1" t="s">
        <v>102</v>
      </c>
      <c r="C68"/>
    </row>
    <row r="69" spans="1:4" x14ac:dyDescent="0.25">
      <c r="C69"/>
    </row>
    <row r="70" spans="1:4" x14ac:dyDescent="0.25">
      <c r="C70"/>
    </row>
    <row r="71" spans="1:4" x14ac:dyDescent="0.25">
      <c r="A71" s="1" t="s">
        <v>103</v>
      </c>
      <c r="B71" s="1" t="s">
        <v>104</v>
      </c>
      <c r="C71"/>
      <c r="D71" t="s">
        <v>63</v>
      </c>
    </row>
    <row r="72" spans="1:4" x14ac:dyDescent="0.25">
      <c r="C72"/>
    </row>
    <row r="73" spans="1:4" x14ac:dyDescent="0.25">
      <c r="B73" s="1" t="s">
        <v>105</v>
      </c>
      <c r="C73" t="s">
        <v>106</v>
      </c>
    </row>
    <row r="74" spans="1:4" x14ac:dyDescent="0.25">
      <c r="B74" s="1" t="s">
        <v>107</v>
      </c>
      <c r="C74" t="s">
        <v>113</v>
      </c>
      <c r="D74">
        <f>1000*15%</f>
        <v>150</v>
      </c>
    </row>
    <row r="75" spans="1:4" x14ac:dyDescent="0.25">
      <c r="B75" s="1" t="s">
        <v>108</v>
      </c>
      <c r="C75" t="s">
        <v>117</v>
      </c>
      <c r="D75" s="33">
        <v>1150</v>
      </c>
    </row>
    <row r="76" spans="1:4" x14ac:dyDescent="0.25">
      <c r="C76"/>
    </row>
    <row r="77" spans="1:4" x14ac:dyDescent="0.25">
      <c r="C77"/>
    </row>
    <row r="78" spans="1:4" x14ac:dyDescent="0.25">
      <c r="A78" s="1" t="s">
        <v>125</v>
      </c>
      <c r="B78" s="1" t="s">
        <v>109</v>
      </c>
      <c r="C78"/>
    </row>
    <row r="79" spans="1:4" x14ac:dyDescent="0.25">
      <c r="C79"/>
    </row>
    <row r="80" spans="1:4" x14ac:dyDescent="0.25">
      <c r="B80" s="1" t="s">
        <v>110</v>
      </c>
      <c r="C80" t="s">
        <v>112</v>
      </c>
    </row>
    <row r="81" spans="1:4" x14ac:dyDescent="0.25">
      <c r="B81" s="1" t="s">
        <v>111</v>
      </c>
      <c r="C81" t="s">
        <v>116</v>
      </c>
      <c r="D81" s="3">
        <v>1500</v>
      </c>
    </row>
    <row r="82" spans="1:4" x14ac:dyDescent="0.25">
      <c r="B82" s="1" t="s">
        <v>107</v>
      </c>
      <c r="C82" t="s">
        <v>114</v>
      </c>
      <c r="D82" s="3">
        <f>500*15%</f>
        <v>75</v>
      </c>
    </row>
    <row r="83" spans="1:4" x14ac:dyDescent="0.25">
      <c r="B83" s="1" t="s">
        <v>108</v>
      </c>
      <c r="C83" t="s">
        <v>115</v>
      </c>
      <c r="D83" s="3">
        <f>1575</f>
        <v>1575</v>
      </c>
    </row>
    <row r="84" spans="1:4" x14ac:dyDescent="0.25">
      <c r="B84" s="1" t="s">
        <v>118</v>
      </c>
      <c r="C84" t="s">
        <v>119</v>
      </c>
      <c r="D84" s="3">
        <f>150+75</f>
        <v>225</v>
      </c>
    </row>
    <row r="85" spans="1:4" x14ac:dyDescent="0.25">
      <c r="C85"/>
    </row>
    <row r="86" spans="1:4" x14ac:dyDescent="0.25">
      <c r="C86"/>
    </row>
    <row r="87" spans="1:4" x14ac:dyDescent="0.25">
      <c r="A87" s="1" t="s">
        <v>120</v>
      </c>
      <c r="B87" s="1" t="s">
        <v>121</v>
      </c>
      <c r="C87"/>
    </row>
    <row r="88" spans="1:4" x14ac:dyDescent="0.25">
      <c r="C88"/>
    </row>
    <row r="89" spans="1:4" x14ac:dyDescent="0.25">
      <c r="B89" s="1" t="s">
        <v>110</v>
      </c>
      <c r="C89" t="s">
        <v>112</v>
      </c>
    </row>
    <row r="90" spans="1:4" x14ac:dyDescent="0.25">
      <c r="B90" s="1" t="s">
        <v>111</v>
      </c>
      <c r="C90" t="s">
        <v>122</v>
      </c>
      <c r="D90" s="3">
        <v>2000</v>
      </c>
    </row>
    <row r="91" spans="1:4" x14ac:dyDescent="0.25">
      <c r="B91" s="1" t="s">
        <v>107</v>
      </c>
      <c r="C91" t="s">
        <v>114</v>
      </c>
      <c r="D91" s="3">
        <f>500*15%</f>
        <v>75</v>
      </c>
    </row>
    <row r="92" spans="1:4" x14ac:dyDescent="0.25">
      <c r="B92" s="1" t="s">
        <v>108</v>
      </c>
      <c r="C92" t="s">
        <v>123</v>
      </c>
      <c r="D92" s="3">
        <v>2075</v>
      </c>
    </row>
    <row r="93" spans="1:4" x14ac:dyDescent="0.25">
      <c r="B93" s="1" t="s">
        <v>118</v>
      </c>
      <c r="C93" t="s">
        <v>124</v>
      </c>
      <c r="D93" s="3">
        <f>150+75+75</f>
        <v>300</v>
      </c>
    </row>
    <row r="94" spans="1:4" x14ac:dyDescent="0.25">
      <c r="C94"/>
    </row>
    <row r="95" spans="1:4" x14ac:dyDescent="0.25">
      <c r="C95"/>
    </row>
    <row r="96" spans="1:4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</sheetData>
  <mergeCells count="2">
    <mergeCell ref="A2:C2"/>
    <mergeCell ref="A61:D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72A3-437B-4431-92C5-FDE4F5865041}">
  <dimension ref="A2:E99"/>
  <sheetViews>
    <sheetView topLeftCell="A5" workbookViewId="0">
      <selection activeCell="C12" sqref="C12"/>
    </sheetView>
  </sheetViews>
  <sheetFormatPr defaultRowHeight="15" x14ac:dyDescent="0.25"/>
  <cols>
    <col min="2" max="2" width="26.28515625" customWidth="1"/>
    <col min="3" max="3" width="29.7109375" style="6" customWidth="1"/>
  </cols>
  <sheetData>
    <row r="2" spans="1:3" ht="18.75" x14ac:dyDescent="0.3">
      <c r="A2" s="42" t="s">
        <v>137</v>
      </c>
      <c r="B2" s="42"/>
      <c r="C2" s="42"/>
    </row>
    <row r="6" spans="1:3" x14ac:dyDescent="0.25">
      <c r="A6" s="36" t="s">
        <v>135</v>
      </c>
      <c r="C6" s="7" t="s">
        <v>63</v>
      </c>
    </row>
    <row r="7" spans="1:3" x14ac:dyDescent="0.25">
      <c r="B7" t="s">
        <v>48</v>
      </c>
    </row>
    <row r="8" spans="1:3" x14ac:dyDescent="0.25">
      <c r="B8" s="1" t="s">
        <v>49</v>
      </c>
      <c r="C8" s="26">
        <v>1000</v>
      </c>
    </row>
    <row r="10" spans="1:3" x14ac:dyDescent="0.25">
      <c r="A10" s="4" t="s">
        <v>6</v>
      </c>
      <c r="B10" s="1" t="s">
        <v>85</v>
      </c>
      <c r="C10" s="6" t="s">
        <v>138</v>
      </c>
    </row>
    <row r="12" spans="1:3" ht="15.75" thickBot="1" x14ac:dyDescent="0.3">
      <c r="C12" s="14">
        <f>10000*25%</f>
        <v>2500</v>
      </c>
    </row>
    <row r="13" spans="1:3" ht="15.75" thickTop="1" x14ac:dyDescent="0.25"/>
    <row r="14" spans="1:3" x14ac:dyDescent="0.25">
      <c r="A14" s="4" t="s">
        <v>7</v>
      </c>
      <c r="B14" s="1" t="s">
        <v>139</v>
      </c>
      <c r="C14" s="13">
        <v>0</v>
      </c>
    </row>
    <row r="16" spans="1:3" ht="15.75" thickBot="1" x14ac:dyDescent="0.3">
      <c r="C16" s="14"/>
    </row>
    <row r="17" spans="1:5" ht="15.75" thickTop="1" x14ac:dyDescent="0.25"/>
    <row r="18" spans="1:5" x14ac:dyDescent="0.25">
      <c r="A18" s="4" t="s">
        <v>11</v>
      </c>
      <c r="B18" s="1" t="s">
        <v>129</v>
      </c>
    </row>
    <row r="20" spans="1:5" x14ac:dyDescent="0.25">
      <c r="B20" s="1" t="s">
        <v>54</v>
      </c>
      <c r="C20" s="7" t="s">
        <v>55</v>
      </c>
    </row>
    <row r="22" spans="1:5" x14ac:dyDescent="0.25">
      <c r="C22" s="6" t="s">
        <v>140</v>
      </c>
    </row>
    <row r="24" spans="1:5" ht="15.75" thickBot="1" x14ac:dyDescent="0.3">
      <c r="C24" s="14">
        <f>1000+2500</f>
        <v>3500</v>
      </c>
    </row>
    <row r="25" spans="1:5" ht="15.75" thickTop="1" x14ac:dyDescent="0.25"/>
    <row r="26" spans="1:5" x14ac:dyDescent="0.25">
      <c r="A26" t="s">
        <v>23</v>
      </c>
      <c r="B26" s="6" t="s">
        <v>58</v>
      </c>
      <c r="C26" s="25" t="s">
        <v>141</v>
      </c>
      <c r="D26" s="1"/>
      <c r="E26" s="1"/>
    </row>
    <row r="27" spans="1:5" x14ac:dyDescent="0.25">
      <c r="A27" s="29"/>
      <c r="B27" s="29"/>
      <c r="C27" s="30"/>
      <c r="D27" s="29"/>
    </row>
    <row r="28" spans="1:5" ht="15.75" thickBot="1" x14ac:dyDescent="0.3">
      <c r="C28" s="15">
        <f>3500*30%</f>
        <v>1050</v>
      </c>
    </row>
    <row r="29" spans="1:5" ht="15.75" thickTop="1" x14ac:dyDescent="0.25"/>
    <row r="30" spans="1:5" x14ac:dyDescent="0.25">
      <c r="A30" s="4" t="s">
        <v>20</v>
      </c>
      <c r="B30" t="s">
        <v>132</v>
      </c>
    </row>
    <row r="32" spans="1:5" x14ac:dyDescent="0.25">
      <c r="B32" s="1" t="s">
        <v>60</v>
      </c>
      <c r="C32" s="7" t="s">
        <v>31</v>
      </c>
    </row>
    <row r="34" spans="1:3" x14ac:dyDescent="0.25">
      <c r="C34" s="6" t="s">
        <v>142</v>
      </c>
    </row>
    <row r="36" spans="1:3" x14ac:dyDescent="0.25">
      <c r="C36" s="28">
        <f>1000+2500+1050</f>
        <v>4550</v>
      </c>
    </row>
    <row r="38" spans="1:3" ht="15.75" thickBot="1" x14ac:dyDescent="0.3">
      <c r="A38" t="s">
        <v>10</v>
      </c>
      <c r="B38" s="1" t="s">
        <v>69</v>
      </c>
      <c r="C38" s="15">
        <f>C36*15%</f>
        <v>682.5</v>
      </c>
    </row>
    <row r="39" spans="1:3" ht="15.75" thickTop="1" x14ac:dyDescent="0.25"/>
    <row r="40" spans="1:3" x14ac:dyDescent="0.25">
      <c r="A40" s="4" t="s">
        <v>29</v>
      </c>
    </row>
    <row r="41" spans="1:3" x14ac:dyDescent="0.25">
      <c r="B41" s="1" t="s">
        <v>64</v>
      </c>
    </row>
    <row r="43" spans="1:3" x14ac:dyDescent="0.25">
      <c r="B43" s="1" t="s">
        <v>36</v>
      </c>
      <c r="C43" s="7" t="s">
        <v>65</v>
      </c>
    </row>
    <row r="45" spans="1:3" x14ac:dyDescent="0.25">
      <c r="C45" s="6" t="s">
        <v>143</v>
      </c>
    </row>
    <row r="47" spans="1:3" ht="15.75" thickBot="1" x14ac:dyDescent="0.3">
      <c r="C47" s="14">
        <f>C8*5%</f>
        <v>50</v>
      </c>
    </row>
    <row r="48" spans="1:3" ht="15.75" thickTop="1" x14ac:dyDescent="0.25"/>
    <row r="49" spans="1:4" x14ac:dyDescent="0.25">
      <c r="A49" s="4" t="s">
        <v>35</v>
      </c>
      <c r="B49" s="1" t="s">
        <v>67</v>
      </c>
    </row>
    <row r="51" spans="1:4" x14ac:dyDescent="0.25">
      <c r="B51" s="1" t="s">
        <v>70</v>
      </c>
      <c r="C51" s="6" t="s">
        <v>71</v>
      </c>
    </row>
    <row r="53" spans="1:4" x14ac:dyDescent="0.25">
      <c r="C53" s="6" t="s">
        <v>144</v>
      </c>
    </row>
    <row r="55" spans="1:4" ht="15.75" thickBot="1" x14ac:dyDescent="0.3">
      <c r="C55" s="14">
        <f>C36*5%</f>
        <v>227.5</v>
      </c>
    </row>
    <row r="56" spans="1:4" ht="15.75" thickTop="1" x14ac:dyDescent="0.25"/>
    <row r="60" spans="1:4" x14ac:dyDescent="0.25">
      <c r="C60"/>
    </row>
    <row r="61" spans="1:4" ht="15.75" x14ac:dyDescent="0.25">
      <c r="A61" s="43"/>
      <c r="B61" s="43"/>
      <c r="C61" s="43"/>
      <c r="D61" s="43"/>
    </row>
    <row r="62" spans="1:4" x14ac:dyDescent="0.25">
      <c r="C62"/>
    </row>
    <row r="63" spans="1:4" x14ac:dyDescent="0.25">
      <c r="A63" s="35" t="s">
        <v>136</v>
      </c>
      <c r="C63"/>
    </row>
    <row r="64" spans="1:4" x14ac:dyDescent="0.25">
      <c r="C64"/>
    </row>
    <row r="65" spans="1:4" x14ac:dyDescent="0.25">
      <c r="C65"/>
    </row>
    <row r="66" spans="1:4" x14ac:dyDescent="0.25">
      <c r="A66" t="s">
        <v>99</v>
      </c>
      <c r="B66" s="1" t="s">
        <v>97</v>
      </c>
      <c r="C66"/>
    </row>
    <row r="67" spans="1:4" x14ac:dyDescent="0.25">
      <c r="A67" t="s">
        <v>100</v>
      </c>
      <c r="B67" s="1" t="s">
        <v>98</v>
      </c>
      <c r="C67"/>
    </row>
    <row r="68" spans="1:4" x14ac:dyDescent="0.25">
      <c r="A68" t="s">
        <v>101</v>
      </c>
      <c r="B68" s="1" t="s">
        <v>102</v>
      </c>
      <c r="C68"/>
    </row>
    <row r="69" spans="1:4" x14ac:dyDescent="0.25">
      <c r="C69"/>
    </row>
    <row r="70" spans="1:4" x14ac:dyDescent="0.25">
      <c r="C70"/>
    </row>
    <row r="71" spans="1:4" x14ac:dyDescent="0.25">
      <c r="A71" s="1" t="s">
        <v>103</v>
      </c>
      <c r="B71" s="1" t="s">
        <v>104</v>
      </c>
      <c r="C71"/>
      <c r="D71" t="s">
        <v>63</v>
      </c>
    </row>
    <row r="72" spans="1:4" x14ac:dyDescent="0.25">
      <c r="C72"/>
    </row>
    <row r="73" spans="1:4" x14ac:dyDescent="0.25">
      <c r="B73" s="1" t="s">
        <v>105</v>
      </c>
      <c r="C73" t="s">
        <v>106</v>
      </c>
    </row>
    <row r="74" spans="1:4" x14ac:dyDescent="0.25">
      <c r="B74" s="1" t="s">
        <v>107</v>
      </c>
      <c r="C74" t="s">
        <v>113</v>
      </c>
      <c r="D74">
        <f>1000*15%</f>
        <v>150</v>
      </c>
    </row>
    <row r="75" spans="1:4" x14ac:dyDescent="0.25">
      <c r="B75" s="1" t="s">
        <v>108</v>
      </c>
      <c r="C75" t="s">
        <v>117</v>
      </c>
      <c r="D75" s="33">
        <v>1150</v>
      </c>
    </row>
    <row r="76" spans="1:4" x14ac:dyDescent="0.25">
      <c r="C76"/>
    </row>
    <row r="77" spans="1:4" x14ac:dyDescent="0.25">
      <c r="C77"/>
    </row>
    <row r="78" spans="1:4" x14ac:dyDescent="0.25">
      <c r="A78" s="1" t="s">
        <v>125</v>
      </c>
      <c r="B78" s="1" t="s">
        <v>109</v>
      </c>
      <c r="C78"/>
    </row>
    <row r="79" spans="1:4" x14ac:dyDescent="0.25">
      <c r="C79"/>
    </row>
    <row r="80" spans="1:4" x14ac:dyDescent="0.25">
      <c r="B80" s="1" t="s">
        <v>110</v>
      </c>
      <c r="C80" t="s">
        <v>112</v>
      </c>
    </row>
    <row r="81" spans="1:4" x14ac:dyDescent="0.25">
      <c r="B81" s="1" t="s">
        <v>111</v>
      </c>
      <c r="C81" t="s">
        <v>116</v>
      </c>
      <c r="D81" s="3">
        <v>1500</v>
      </c>
    </row>
    <row r="82" spans="1:4" x14ac:dyDescent="0.25">
      <c r="B82" s="1" t="s">
        <v>107</v>
      </c>
      <c r="C82" t="s">
        <v>114</v>
      </c>
      <c r="D82" s="3">
        <f>500*15%</f>
        <v>75</v>
      </c>
    </row>
    <row r="83" spans="1:4" x14ac:dyDescent="0.25">
      <c r="B83" s="1" t="s">
        <v>108</v>
      </c>
      <c r="C83" t="s">
        <v>115</v>
      </c>
      <c r="D83" s="3">
        <f>1575</f>
        <v>1575</v>
      </c>
    </row>
    <row r="84" spans="1:4" x14ac:dyDescent="0.25">
      <c r="B84" s="1" t="s">
        <v>118</v>
      </c>
      <c r="C84" t="s">
        <v>119</v>
      </c>
      <c r="D84" s="3">
        <f>150+75</f>
        <v>225</v>
      </c>
    </row>
    <row r="85" spans="1:4" x14ac:dyDescent="0.25">
      <c r="C85"/>
    </row>
    <row r="86" spans="1:4" x14ac:dyDescent="0.25">
      <c r="C86"/>
    </row>
    <row r="87" spans="1:4" x14ac:dyDescent="0.25">
      <c r="A87" s="1" t="s">
        <v>120</v>
      </c>
      <c r="B87" s="1" t="s">
        <v>121</v>
      </c>
      <c r="C87"/>
    </row>
    <row r="88" spans="1:4" x14ac:dyDescent="0.25">
      <c r="C88"/>
    </row>
    <row r="89" spans="1:4" x14ac:dyDescent="0.25">
      <c r="B89" s="1" t="s">
        <v>110</v>
      </c>
      <c r="C89" t="s">
        <v>112</v>
      </c>
    </row>
    <row r="90" spans="1:4" x14ac:dyDescent="0.25">
      <c r="B90" s="1" t="s">
        <v>111</v>
      </c>
      <c r="C90" t="s">
        <v>122</v>
      </c>
      <c r="D90" s="3">
        <v>2000</v>
      </c>
    </row>
    <row r="91" spans="1:4" x14ac:dyDescent="0.25">
      <c r="B91" s="1" t="s">
        <v>107</v>
      </c>
      <c r="C91" t="s">
        <v>114</v>
      </c>
      <c r="D91" s="3">
        <f>500*15%</f>
        <v>75</v>
      </c>
    </row>
    <row r="92" spans="1:4" x14ac:dyDescent="0.25">
      <c r="B92" s="1" t="s">
        <v>108</v>
      </c>
      <c r="C92" t="s">
        <v>123</v>
      </c>
      <c r="D92" s="3">
        <v>2075</v>
      </c>
    </row>
    <row r="93" spans="1:4" x14ac:dyDescent="0.25">
      <c r="B93" s="1" t="s">
        <v>118</v>
      </c>
      <c r="C93" t="s">
        <v>124</v>
      </c>
      <c r="D93" s="3">
        <f>150+75+75</f>
        <v>300</v>
      </c>
    </row>
    <row r="94" spans="1:4" x14ac:dyDescent="0.25">
      <c r="C94"/>
    </row>
    <row r="95" spans="1:4" x14ac:dyDescent="0.25">
      <c r="C95"/>
    </row>
    <row r="96" spans="1:4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</sheetData>
  <mergeCells count="2">
    <mergeCell ref="A2:C2"/>
    <mergeCell ref="A61:D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Jan'23</vt:lpstr>
      <vt:lpstr>July'22</vt:lpstr>
      <vt:lpstr>Jan'22</vt:lpstr>
      <vt:lpstr>July'2021</vt:lpstr>
      <vt:lpstr>Jan'2021</vt:lpstr>
      <vt:lpstr>Jan'2020</vt:lpstr>
      <vt:lpstr>July'2019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Khatun (F&amp;A)</dc:creator>
  <cp:lastModifiedBy>Khadija Khatun (F&amp;A)</cp:lastModifiedBy>
  <dcterms:created xsi:type="dcterms:W3CDTF">2024-12-04T05:05:50Z</dcterms:created>
  <dcterms:modified xsi:type="dcterms:W3CDTF">2024-12-06T07:42:02Z</dcterms:modified>
</cp:coreProperties>
</file>